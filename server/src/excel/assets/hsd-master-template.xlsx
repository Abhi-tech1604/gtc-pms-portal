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TC-100-1 STORE REPORTS\HSD  &amp; LUBE REPORT\MECHANICAL DPR 2026\AUGUST-2026\"/>
    </mc:Choice>
  </mc:AlternateContent>
  <xr:revisionPtr revIDLastSave="0" documentId="13_ncr:1_{2FB62A91-75B6-4D9A-B5ED-2BB6ADF668FD}" xr6:coauthVersionLast="47" xr6:coauthVersionMax="47" xr10:uidLastSave="{00000000-0000-0000-0000-000000000000}"/>
  <bookViews>
    <workbookView xWindow="-120" yWindow="-120" windowWidth="19440" windowHeight="10440" tabRatio="599" firstSheet="9" activeTab="23" xr2:uid="{00000000-000D-0000-FFFF-FFFF00000000}"/>
  </bookViews>
  <sheets>
    <sheet name="HSD Consumption Master Seet" sheetId="33" r:id="rId1"/>
    <sheet name="Oil Tracking Sheet" sheetId="35" r:id="rId2"/>
    <sheet name="HSD TOP UP Sheet" sheetId="34" r:id="rId3"/>
    <sheet name="Hydraulic Oil Level Sheet" sheetId="36" r:id="rId4"/>
    <sheet name="1" sheetId="1" r:id="rId5"/>
    <sheet name="2" sheetId="3" r:id="rId6"/>
    <sheet name="3" sheetId="4" r:id="rId7"/>
    <sheet name="4" sheetId="5" r:id="rId8"/>
    <sheet name="5" sheetId="6" r:id="rId9"/>
    <sheet name="6" sheetId="7" r:id="rId10"/>
    <sheet name="7" sheetId="8" r:id="rId11"/>
    <sheet name="8" sheetId="9" r:id="rId12"/>
    <sheet name="9" sheetId="10" r:id="rId13"/>
    <sheet name="10" sheetId="11" r:id="rId14"/>
    <sheet name="11" sheetId="12" r:id="rId15"/>
    <sheet name="12" sheetId="13" r:id="rId16"/>
    <sheet name="13" sheetId="14" r:id="rId17"/>
    <sheet name="14" sheetId="15" r:id="rId18"/>
    <sheet name="15" sheetId="16" r:id="rId19"/>
    <sheet name="16" sheetId="17" r:id="rId20"/>
    <sheet name="17" sheetId="18" r:id="rId21"/>
    <sheet name="18" sheetId="19" r:id="rId22"/>
    <sheet name="19" sheetId="20" r:id="rId23"/>
    <sheet name="20" sheetId="21" r:id="rId24"/>
    <sheet name="21" sheetId="22" r:id="rId25"/>
    <sheet name="22" sheetId="23" r:id="rId26"/>
    <sheet name="23" sheetId="24" r:id="rId27"/>
    <sheet name="24" sheetId="25" r:id="rId28"/>
    <sheet name="25" sheetId="26" r:id="rId29"/>
    <sheet name="26" sheetId="27" r:id="rId30"/>
    <sheet name="27" sheetId="28" r:id="rId31"/>
    <sheet name="28" sheetId="29" r:id="rId32"/>
    <sheet name="29" sheetId="30" r:id="rId33"/>
    <sheet name="30" sheetId="31" r:id="rId34"/>
    <sheet name="31" sheetId="32" r:id="rId35"/>
  </sheets>
  <definedNames>
    <definedName name="_xlnm.Print_Area" localSheetId="20">'17'!$A$1:$L$47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1" l="1"/>
  <c r="E9" i="1" l="1"/>
  <c r="C27" i="1"/>
  <c r="E30" i="1" s="1"/>
  <c r="E27" i="1"/>
  <c r="F30" i="1" s="1"/>
  <c r="F27" i="1"/>
  <c r="J9" i="1" l="1"/>
  <c r="J10" i="1"/>
  <c r="E28" i="17" l="1"/>
  <c r="F31" i="17" s="1"/>
  <c r="D31" i="32"/>
  <c r="G31" i="32" s="1"/>
  <c r="F27" i="32"/>
  <c r="E27" i="32"/>
  <c r="F30" i="32" s="1"/>
  <c r="C27" i="32"/>
  <c r="E30" i="32" s="1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G4" i="32"/>
  <c r="D32" i="31"/>
  <c r="G32" i="31" s="1"/>
  <c r="F28" i="31"/>
  <c r="E28" i="31"/>
  <c r="F31" i="31" s="1"/>
  <c r="C28" i="31"/>
  <c r="E31" i="31" s="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  <c r="J6" i="31"/>
  <c r="G4" i="31"/>
  <c r="D32" i="30"/>
  <c r="G32" i="30" s="1"/>
  <c r="F28" i="30"/>
  <c r="E28" i="30"/>
  <c r="F31" i="30" s="1"/>
  <c r="C28" i="30"/>
  <c r="E31" i="30" s="1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J6" i="30"/>
  <c r="G4" i="30"/>
  <c r="D32" i="29"/>
  <c r="G32" i="29" s="1"/>
  <c r="F28" i="29"/>
  <c r="E28" i="29"/>
  <c r="F31" i="29" s="1"/>
  <c r="C28" i="29"/>
  <c r="E31" i="29" s="1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6" i="29"/>
  <c r="G4" i="29"/>
  <c r="D32" i="28"/>
  <c r="G32" i="28" s="1"/>
  <c r="F28" i="28"/>
  <c r="E28" i="28"/>
  <c r="F31" i="28" s="1"/>
  <c r="C28" i="28"/>
  <c r="E31" i="28" s="1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6" i="28"/>
  <c r="G4" i="28"/>
  <c r="D32" i="27"/>
  <c r="G32" i="27" s="1"/>
  <c r="F28" i="27"/>
  <c r="E28" i="27"/>
  <c r="F31" i="27" s="1"/>
  <c r="C28" i="27"/>
  <c r="E31" i="27" s="1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G4" i="27"/>
  <c r="D32" i="26"/>
  <c r="G32" i="26" s="1"/>
  <c r="F28" i="26"/>
  <c r="E28" i="26"/>
  <c r="F31" i="26" s="1"/>
  <c r="C28" i="26"/>
  <c r="E31" i="26" s="1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J8" i="26"/>
  <c r="J7" i="26"/>
  <c r="J6" i="26"/>
  <c r="G4" i="26"/>
  <c r="D32" i="25"/>
  <c r="G32" i="25" s="1"/>
  <c r="F28" i="25"/>
  <c r="E28" i="25"/>
  <c r="F31" i="25" s="1"/>
  <c r="C28" i="25"/>
  <c r="E31" i="25" s="1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7" i="25"/>
  <c r="J6" i="25"/>
  <c r="G4" i="25"/>
  <c r="D32" i="24"/>
  <c r="G32" i="24" s="1"/>
  <c r="F28" i="24"/>
  <c r="E28" i="24"/>
  <c r="F31" i="24" s="1"/>
  <c r="C28" i="24"/>
  <c r="E31" i="24" s="1"/>
  <c r="J27" i="24"/>
  <c r="J26" i="24"/>
  <c r="J25" i="24"/>
  <c r="J24" i="24"/>
  <c r="J23" i="24"/>
  <c r="J22" i="24"/>
  <c r="J21" i="24"/>
  <c r="J20" i="24"/>
  <c r="J19" i="24"/>
  <c r="J18" i="24"/>
  <c r="J17" i="24"/>
  <c r="J16" i="24"/>
  <c r="J15" i="24"/>
  <c r="J14" i="24"/>
  <c r="J13" i="24"/>
  <c r="J12" i="24"/>
  <c r="J11" i="24"/>
  <c r="J10" i="24"/>
  <c r="J9" i="24"/>
  <c r="J8" i="24"/>
  <c r="J7" i="24"/>
  <c r="J6" i="24"/>
  <c r="G4" i="24"/>
  <c r="D32" i="23"/>
  <c r="G32" i="23" s="1"/>
  <c r="F28" i="23"/>
  <c r="E28" i="23"/>
  <c r="F31" i="23" s="1"/>
  <c r="C28" i="23"/>
  <c r="E31" i="23" s="1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G4" i="23"/>
  <c r="D32" i="22"/>
  <c r="G32" i="22" s="1"/>
  <c r="F28" i="22"/>
  <c r="E28" i="22"/>
  <c r="F31" i="22" s="1"/>
  <c r="C28" i="22"/>
  <c r="E31" i="22" s="1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G4" i="22"/>
  <c r="D32" i="21"/>
  <c r="G32" i="21" s="1"/>
  <c r="F28" i="21"/>
  <c r="E28" i="21"/>
  <c r="F31" i="21" s="1"/>
  <c r="C28" i="21"/>
  <c r="E31" i="21" s="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4" i="21"/>
  <c r="D32" i="20"/>
  <c r="G32" i="20" s="1"/>
  <c r="F28" i="20"/>
  <c r="E28" i="20"/>
  <c r="F31" i="20" s="1"/>
  <c r="C28" i="20"/>
  <c r="E31" i="20" s="1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G4" i="20"/>
  <c r="D32" i="19"/>
  <c r="G32" i="19" s="1"/>
  <c r="F28" i="19"/>
  <c r="E28" i="19"/>
  <c r="F31" i="19" s="1"/>
  <c r="C28" i="19"/>
  <c r="E31" i="19" s="1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G4" i="19"/>
  <c r="D32" i="18"/>
  <c r="G32" i="18" s="1"/>
  <c r="F28" i="18"/>
  <c r="E28" i="18"/>
  <c r="F31" i="18" s="1"/>
  <c r="C28" i="18"/>
  <c r="E31" i="18" s="1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G4" i="18"/>
  <c r="D32" i="17"/>
  <c r="G32" i="17" s="1"/>
  <c r="F28" i="17"/>
  <c r="C28" i="17"/>
  <c r="E31" i="17" s="1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G4" i="17"/>
  <c r="D32" i="16"/>
  <c r="G32" i="16" s="1"/>
  <c r="F28" i="16"/>
  <c r="E28" i="16"/>
  <c r="F31" i="16" s="1"/>
  <c r="C28" i="16"/>
  <c r="E31" i="16" s="1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G4" i="16"/>
  <c r="D32" i="15"/>
  <c r="G32" i="15" s="1"/>
  <c r="F28" i="15"/>
  <c r="E28" i="15"/>
  <c r="F31" i="15" s="1"/>
  <c r="C28" i="15"/>
  <c r="E31" i="15" s="1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G4" i="15"/>
  <c r="D32" i="14"/>
  <c r="G32" i="14" s="1"/>
  <c r="F28" i="14"/>
  <c r="E28" i="14"/>
  <c r="F31" i="14" s="1"/>
  <c r="C28" i="14"/>
  <c r="E31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G4" i="14"/>
  <c r="D32" i="13"/>
  <c r="G32" i="13" s="1"/>
  <c r="F28" i="13"/>
  <c r="E28" i="13"/>
  <c r="F31" i="13" s="1"/>
  <c r="C28" i="13"/>
  <c r="E31" i="13" s="1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G4" i="13"/>
  <c r="D32" i="12"/>
  <c r="G32" i="12" s="1"/>
  <c r="F28" i="12"/>
  <c r="E28" i="12"/>
  <c r="F31" i="12" s="1"/>
  <c r="C28" i="12"/>
  <c r="E31" i="12" s="1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G4" i="12"/>
  <c r="D32" i="11"/>
  <c r="G32" i="11" s="1"/>
  <c r="F28" i="11"/>
  <c r="E28" i="11"/>
  <c r="F31" i="11" s="1"/>
  <c r="C28" i="11"/>
  <c r="E31" i="11" s="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G4" i="11"/>
  <c r="D32" i="10"/>
  <c r="G32" i="10" s="1"/>
  <c r="F28" i="10"/>
  <c r="E28" i="10"/>
  <c r="F31" i="10" s="1"/>
  <c r="C28" i="10"/>
  <c r="E31" i="10" s="1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G4" i="10"/>
  <c r="D32" i="9"/>
  <c r="G32" i="9" s="1"/>
  <c r="F28" i="9"/>
  <c r="E28" i="9"/>
  <c r="F31" i="9" s="1"/>
  <c r="C28" i="9"/>
  <c r="E31" i="9" s="1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G4" i="9"/>
  <c r="D32" i="8"/>
  <c r="G32" i="8" s="1"/>
  <c r="F28" i="8"/>
  <c r="E28" i="8"/>
  <c r="F31" i="8" s="1"/>
  <c r="C28" i="8"/>
  <c r="E31" i="8" s="1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G4" i="8"/>
  <c r="D31" i="7"/>
  <c r="G31" i="7" s="1"/>
  <c r="F27" i="7"/>
  <c r="E27" i="7"/>
  <c r="F30" i="7" s="1"/>
  <c r="C27" i="7"/>
  <c r="E30" i="7" s="1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G4" i="7"/>
  <c r="D32" i="6"/>
  <c r="G32" i="6" s="1"/>
  <c r="F28" i="6"/>
  <c r="E28" i="6"/>
  <c r="F31" i="6" s="1"/>
  <c r="C28" i="6"/>
  <c r="E31" i="6" s="1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G4" i="6"/>
  <c r="D31" i="5"/>
  <c r="G31" i="5" s="1"/>
  <c r="F27" i="5"/>
  <c r="E27" i="5"/>
  <c r="F30" i="5" s="1"/>
  <c r="C27" i="5"/>
  <c r="E30" i="5" s="1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G4" i="5"/>
  <c r="D31" i="4"/>
  <c r="G31" i="4" s="1"/>
  <c r="F27" i="4"/>
  <c r="E27" i="4"/>
  <c r="F30" i="4" s="1"/>
  <c r="C27" i="4"/>
  <c r="E30" i="4" s="1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G4" i="4"/>
  <c r="D31" i="3"/>
  <c r="G31" i="3" s="1"/>
  <c r="F27" i="3"/>
  <c r="E27" i="3"/>
  <c r="F30" i="3" s="1"/>
  <c r="C27" i="3"/>
  <c r="E30" i="3" s="1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G4" i="3"/>
  <c r="D46" i="1"/>
  <c r="F46" i="1" s="1"/>
  <c r="B46" i="3" s="1"/>
  <c r="D46" i="3" s="1"/>
  <c r="F46" i="3" s="1"/>
  <c r="B46" i="4" s="1"/>
  <c r="D46" i="4" s="1"/>
  <c r="F46" i="4" s="1"/>
  <c r="B46" i="5" s="1"/>
  <c r="D46" i="5" s="1"/>
  <c r="F46" i="5" s="1"/>
  <c r="B47" i="6" s="1"/>
  <c r="D47" i="6" s="1"/>
  <c r="F47" i="6" s="1"/>
  <c r="B46" i="7" s="1"/>
  <c r="D46" i="7" s="1"/>
  <c r="F46" i="7" s="1"/>
  <c r="B47" i="8" s="1"/>
  <c r="D47" i="8" s="1"/>
  <c r="F47" i="8" s="1"/>
  <c r="B47" i="9" s="1"/>
  <c r="D47" i="9" s="1"/>
  <c r="F47" i="9" s="1"/>
  <c r="B47" i="10" s="1"/>
  <c r="D47" i="10" s="1"/>
  <c r="F47" i="10" s="1"/>
  <c r="B47" i="11" s="1"/>
  <c r="D47" i="11" s="1"/>
  <c r="F47" i="11" s="1"/>
  <c r="B47" i="12" s="1"/>
  <c r="D47" i="12" s="1"/>
  <c r="F47" i="12" s="1"/>
  <c r="B47" i="13" s="1"/>
  <c r="D47" i="13" s="1"/>
  <c r="F47" i="13" s="1"/>
  <c r="B47" i="14" s="1"/>
  <c r="D47" i="14" s="1"/>
  <c r="F47" i="14" s="1"/>
  <c r="B47" i="15" s="1"/>
  <c r="D47" i="15" s="1"/>
  <c r="F47" i="15" s="1"/>
  <c r="B47" i="16" s="1"/>
  <c r="D47" i="16" s="1"/>
  <c r="F47" i="16" s="1"/>
  <c r="B47" i="17" s="1"/>
  <c r="D47" i="17" s="1"/>
  <c r="F47" i="17" s="1"/>
  <c r="B47" i="18" s="1"/>
  <c r="D47" i="18" s="1"/>
  <c r="F47" i="18" s="1"/>
  <c r="B47" i="19" s="1"/>
  <c r="D47" i="19" s="1"/>
  <c r="F47" i="19" s="1"/>
  <c r="B47" i="20" s="1"/>
  <c r="D47" i="20" s="1"/>
  <c r="F47" i="20" s="1"/>
  <c r="B47" i="21" s="1"/>
  <c r="D47" i="21" s="1"/>
  <c r="F47" i="21" s="1"/>
  <c r="B47" i="22" s="1"/>
  <c r="D47" i="22" s="1"/>
  <c r="F47" i="22" s="1"/>
  <c r="B47" i="23" s="1"/>
  <c r="D47" i="23" s="1"/>
  <c r="F47" i="23" s="1"/>
  <c r="B47" i="24" s="1"/>
  <c r="D47" i="24" s="1"/>
  <c r="F47" i="24" s="1"/>
  <c r="B47" i="25" s="1"/>
  <c r="D47" i="25" s="1"/>
  <c r="F47" i="25" s="1"/>
  <c r="B47" i="26" s="1"/>
  <c r="D47" i="26" s="1"/>
  <c r="F47" i="26" s="1"/>
  <c r="B47" i="27" s="1"/>
  <c r="D47" i="27" s="1"/>
  <c r="F47" i="27" s="1"/>
  <c r="B47" i="28" s="1"/>
  <c r="D47" i="28" s="1"/>
  <c r="F47" i="28" s="1"/>
  <c r="B47" i="29" s="1"/>
  <c r="D47" i="29" s="1"/>
  <c r="F47" i="29" s="1"/>
  <c r="B47" i="30" s="1"/>
  <c r="D47" i="30" s="1"/>
  <c r="F47" i="30" s="1"/>
  <c r="B47" i="31" s="1"/>
  <c r="D47" i="31" s="1"/>
  <c r="F47" i="31" s="1"/>
  <c r="B46" i="32" s="1"/>
  <c r="D46" i="32" s="1"/>
  <c r="F46" i="32" s="1"/>
  <c r="D45" i="1"/>
  <c r="F45" i="1" s="1"/>
  <c r="B45" i="3" s="1"/>
  <c r="D45" i="3" s="1"/>
  <c r="F45" i="3" s="1"/>
  <c r="B45" i="4" s="1"/>
  <c r="D45" i="4" s="1"/>
  <c r="F45" i="4" s="1"/>
  <c r="B45" i="5" s="1"/>
  <c r="D45" i="5" s="1"/>
  <c r="F45" i="5" s="1"/>
  <c r="B46" i="6" s="1"/>
  <c r="D46" i="6" s="1"/>
  <c r="F46" i="6" s="1"/>
  <c r="B45" i="7" s="1"/>
  <c r="D45" i="7" s="1"/>
  <c r="F45" i="7" s="1"/>
  <c r="B46" i="8" s="1"/>
  <c r="D46" i="8" s="1"/>
  <c r="F46" i="8" s="1"/>
  <c r="B46" i="9" s="1"/>
  <c r="D46" i="9" s="1"/>
  <c r="F46" i="9" s="1"/>
  <c r="B46" i="10" s="1"/>
  <c r="D46" i="10" s="1"/>
  <c r="F46" i="10" s="1"/>
  <c r="B46" i="11" s="1"/>
  <c r="D46" i="11" s="1"/>
  <c r="F46" i="11" s="1"/>
  <c r="B46" i="12" s="1"/>
  <c r="D46" i="12" s="1"/>
  <c r="F46" i="12" s="1"/>
  <c r="B46" i="13" s="1"/>
  <c r="D46" i="13" s="1"/>
  <c r="F46" i="13" s="1"/>
  <c r="B46" i="14" s="1"/>
  <c r="D46" i="14" s="1"/>
  <c r="F46" i="14" s="1"/>
  <c r="B46" i="15" s="1"/>
  <c r="D46" i="15" s="1"/>
  <c r="F46" i="15" s="1"/>
  <c r="B46" i="16" s="1"/>
  <c r="D46" i="16" s="1"/>
  <c r="F46" i="16" s="1"/>
  <c r="B46" i="17" s="1"/>
  <c r="D46" i="17" s="1"/>
  <c r="F46" i="17" s="1"/>
  <c r="B46" i="18" s="1"/>
  <c r="D46" i="18" s="1"/>
  <c r="F46" i="18" s="1"/>
  <c r="B46" i="19" s="1"/>
  <c r="D46" i="19" s="1"/>
  <c r="F46" i="19" s="1"/>
  <c r="B46" i="20" s="1"/>
  <c r="D46" i="20" s="1"/>
  <c r="F46" i="20" s="1"/>
  <c r="B46" i="21" s="1"/>
  <c r="D46" i="21" s="1"/>
  <c r="F46" i="21" s="1"/>
  <c r="B46" i="22" s="1"/>
  <c r="D46" i="22" s="1"/>
  <c r="F46" i="22" s="1"/>
  <c r="B46" i="23" s="1"/>
  <c r="D46" i="23" s="1"/>
  <c r="F46" i="23" s="1"/>
  <c r="B46" i="24" s="1"/>
  <c r="D46" i="24" s="1"/>
  <c r="F46" i="24" s="1"/>
  <c r="B46" i="25" s="1"/>
  <c r="D46" i="25" s="1"/>
  <c r="F46" i="25" s="1"/>
  <c r="B46" i="26" s="1"/>
  <c r="D46" i="26" s="1"/>
  <c r="F46" i="26" s="1"/>
  <c r="B46" i="27" s="1"/>
  <c r="D46" i="27" s="1"/>
  <c r="F46" i="27" s="1"/>
  <c r="B46" i="28" s="1"/>
  <c r="D46" i="28" s="1"/>
  <c r="F46" i="28" s="1"/>
  <c r="B46" i="29" s="1"/>
  <c r="D46" i="29" s="1"/>
  <c r="F46" i="29" s="1"/>
  <c r="B46" i="30" s="1"/>
  <c r="D46" i="30" s="1"/>
  <c r="F46" i="30" s="1"/>
  <c r="B46" i="31" s="1"/>
  <c r="D46" i="31" s="1"/>
  <c r="F46" i="31" s="1"/>
  <c r="B45" i="32" s="1"/>
  <c r="D45" i="32" s="1"/>
  <c r="F45" i="32" s="1"/>
  <c r="D44" i="1"/>
  <c r="F44" i="1" s="1"/>
  <c r="B44" i="3" s="1"/>
  <c r="D44" i="3" s="1"/>
  <c r="F44" i="3" s="1"/>
  <c r="B44" i="4" s="1"/>
  <c r="D44" i="4" s="1"/>
  <c r="F44" i="4" s="1"/>
  <c r="B44" i="5" s="1"/>
  <c r="D44" i="5" s="1"/>
  <c r="F44" i="5" s="1"/>
  <c r="B45" i="6" s="1"/>
  <c r="D45" i="6" s="1"/>
  <c r="F45" i="6" s="1"/>
  <c r="B44" i="7" s="1"/>
  <c r="D44" i="7" s="1"/>
  <c r="F44" i="7" s="1"/>
  <c r="B45" i="8" s="1"/>
  <c r="D45" i="8" s="1"/>
  <c r="F45" i="8" s="1"/>
  <c r="B45" i="9" s="1"/>
  <c r="D45" i="9" s="1"/>
  <c r="F45" i="9" s="1"/>
  <c r="B45" i="10" s="1"/>
  <c r="D45" i="10" s="1"/>
  <c r="F45" i="10" s="1"/>
  <c r="B45" i="11" s="1"/>
  <c r="D45" i="11" s="1"/>
  <c r="F45" i="11" s="1"/>
  <c r="B45" i="12" s="1"/>
  <c r="D45" i="12" s="1"/>
  <c r="F45" i="12" s="1"/>
  <c r="B45" i="13" s="1"/>
  <c r="D45" i="13" s="1"/>
  <c r="F45" i="13" s="1"/>
  <c r="B45" i="14" s="1"/>
  <c r="D45" i="14" s="1"/>
  <c r="F45" i="14" s="1"/>
  <c r="B45" i="15" s="1"/>
  <c r="D45" i="15" s="1"/>
  <c r="F45" i="15" s="1"/>
  <c r="B45" i="16" s="1"/>
  <c r="D45" i="16" s="1"/>
  <c r="F45" i="16" s="1"/>
  <c r="B45" i="17" s="1"/>
  <c r="D45" i="17" s="1"/>
  <c r="F45" i="17" s="1"/>
  <c r="B45" i="18" s="1"/>
  <c r="D45" i="18" s="1"/>
  <c r="F45" i="18" s="1"/>
  <c r="B45" i="19" s="1"/>
  <c r="D45" i="19" s="1"/>
  <c r="F45" i="19" s="1"/>
  <c r="B45" i="20" s="1"/>
  <c r="D45" i="20" s="1"/>
  <c r="F45" i="20" s="1"/>
  <c r="B45" i="21" s="1"/>
  <c r="D45" i="21" s="1"/>
  <c r="F45" i="21" s="1"/>
  <c r="B45" i="22" s="1"/>
  <c r="D45" i="22" s="1"/>
  <c r="F45" i="22" s="1"/>
  <c r="B45" i="23" s="1"/>
  <c r="D45" i="23" s="1"/>
  <c r="F45" i="23" s="1"/>
  <c r="B45" i="24" s="1"/>
  <c r="D45" i="24" s="1"/>
  <c r="F45" i="24" s="1"/>
  <c r="B45" i="25" s="1"/>
  <c r="D45" i="25" s="1"/>
  <c r="F45" i="25" s="1"/>
  <c r="B45" i="26" s="1"/>
  <c r="D45" i="26" s="1"/>
  <c r="F45" i="26" s="1"/>
  <c r="B45" i="27" s="1"/>
  <c r="D45" i="27" s="1"/>
  <c r="F45" i="27" s="1"/>
  <c r="B45" i="28" s="1"/>
  <c r="D45" i="28" s="1"/>
  <c r="F45" i="28" s="1"/>
  <c r="B45" i="29" s="1"/>
  <c r="D45" i="29" s="1"/>
  <c r="F45" i="29" s="1"/>
  <c r="B45" i="30" s="1"/>
  <c r="D45" i="30" s="1"/>
  <c r="F45" i="30" s="1"/>
  <c r="B45" i="31" s="1"/>
  <c r="D45" i="31" s="1"/>
  <c r="F45" i="31" s="1"/>
  <c r="B44" i="32" s="1"/>
  <c r="D44" i="32" s="1"/>
  <c r="F44" i="32" s="1"/>
  <c r="D43" i="1"/>
  <c r="F43" i="1" s="1"/>
  <c r="B43" i="3" s="1"/>
  <c r="D43" i="3" s="1"/>
  <c r="F43" i="3" s="1"/>
  <c r="B43" i="4" s="1"/>
  <c r="D43" i="4" s="1"/>
  <c r="F43" i="4" s="1"/>
  <c r="B43" i="5" s="1"/>
  <c r="D43" i="5" s="1"/>
  <c r="F43" i="5" s="1"/>
  <c r="B44" i="6" s="1"/>
  <c r="D44" i="6" s="1"/>
  <c r="F44" i="6" s="1"/>
  <c r="B43" i="7" s="1"/>
  <c r="D43" i="7" s="1"/>
  <c r="F43" i="7" s="1"/>
  <c r="B44" i="8" s="1"/>
  <c r="D44" i="8" s="1"/>
  <c r="F44" i="8" s="1"/>
  <c r="B44" i="9" s="1"/>
  <c r="D44" i="9" s="1"/>
  <c r="F44" i="9" s="1"/>
  <c r="B44" i="10" s="1"/>
  <c r="D44" i="10" s="1"/>
  <c r="F44" i="10" s="1"/>
  <c r="B44" i="11" s="1"/>
  <c r="D44" i="11" s="1"/>
  <c r="F44" i="11" s="1"/>
  <c r="B44" i="12" s="1"/>
  <c r="D44" i="12" s="1"/>
  <c r="F44" i="12" s="1"/>
  <c r="B44" i="13" s="1"/>
  <c r="D44" i="13" s="1"/>
  <c r="F44" i="13" s="1"/>
  <c r="B44" i="14" s="1"/>
  <c r="D44" i="14" s="1"/>
  <c r="F44" i="14" s="1"/>
  <c r="B44" i="15" s="1"/>
  <c r="D44" i="15" s="1"/>
  <c r="F44" i="15" s="1"/>
  <c r="B44" i="16" s="1"/>
  <c r="D44" i="16" s="1"/>
  <c r="F44" i="16" s="1"/>
  <c r="B44" i="17" s="1"/>
  <c r="D44" i="17" s="1"/>
  <c r="F44" i="17" s="1"/>
  <c r="B44" i="18" s="1"/>
  <c r="D44" i="18" s="1"/>
  <c r="F44" i="18" s="1"/>
  <c r="B44" i="19" s="1"/>
  <c r="D44" i="19" s="1"/>
  <c r="F44" i="19" s="1"/>
  <c r="B44" i="20" s="1"/>
  <c r="D44" i="20" s="1"/>
  <c r="F44" i="20" s="1"/>
  <c r="B44" i="21" s="1"/>
  <c r="D44" i="21" s="1"/>
  <c r="F44" i="21" s="1"/>
  <c r="B44" i="22" s="1"/>
  <c r="D44" i="22" s="1"/>
  <c r="F44" i="22" s="1"/>
  <c r="B44" i="23" s="1"/>
  <c r="D44" i="23" s="1"/>
  <c r="F44" i="23" s="1"/>
  <c r="B44" i="24" s="1"/>
  <c r="D44" i="24" s="1"/>
  <c r="F44" i="24" s="1"/>
  <c r="B44" i="25" s="1"/>
  <c r="D44" i="25" s="1"/>
  <c r="F44" i="25" s="1"/>
  <c r="B44" i="26" s="1"/>
  <c r="D44" i="26" s="1"/>
  <c r="F44" i="26" s="1"/>
  <c r="B44" i="27" s="1"/>
  <c r="D44" i="27" s="1"/>
  <c r="F44" i="27" s="1"/>
  <c r="B44" i="28" s="1"/>
  <c r="D44" i="28" s="1"/>
  <c r="F44" i="28" s="1"/>
  <c r="B44" i="29" s="1"/>
  <c r="D44" i="29" s="1"/>
  <c r="F44" i="29" s="1"/>
  <c r="B44" i="30" s="1"/>
  <c r="D44" i="30" s="1"/>
  <c r="F44" i="30" s="1"/>
  <c r="B44" i="31" s="1"/>
  <c r="D44" i="31" s="1"/>
  <c r="F44" i="31" s="1"/>
  <c r="B43" i="32" s="1"/>
  <c r="D43" i="32" s="1"/>
  <c r="F43" i="32" s="1"/>
  <c r="D42" i="1"/>
  <c r="F42" i="1" s="1"/>
  <c r="B42" i="3" s="1"/>
  <c r="D42" i="3" s="1"/>
  <c r="F42" i="3" s="1"/>
  <c r="B42" i="4" s="1"/>
  <c r="D42" i="4" s="1"/>
  <c r="F42" i="4" s="1"/>
  <c r="B42" i="5" s="1"/>
  <c r="D42" i="5" s="1"/>
  <c r="F42" i="5" s="1"/>
  <c r="B43" i="6" s="1"/>
  <c r="D43" i="6" s="1"/>
  <c r="F43" i="6" s="1"/>
  <c r="B42" i="7" s="1"/>
  <c r="D42" i="7" s="1"/>
  <c r="F42" i="7" s="1"/>
  <c r="B43" i="8" s="1"/>
  <c r="D43" i="8" s="1"/>
  <c r="F43" i="8" s="1"/>
  <c r="B43" i="9" s="1"/>
  <c r="D43" i="9" s="1"/>
  <c r="F43" i="9" s="1"/>
  <c r="B43" i="10" s="1"/>
  <c r="D43" i="10" s="1"/>
  <c r="F43" i="10" s="1"/>
  <c r="B43" i="11" s="1"/>
  <c r="D43" i="11" s="1"/>
  <c r="F43" i="11" s="1"/>
  <c r="B43" i="12" s="1"/>
  <c r="D43" i="12" s="1"/>
  <c r="F43" i="12" s="1"/>
  <c r="B43" i="13" s="1"/>
  <c r="D43" i="13" s="1"/>
  <c r="F43" i="13" s="1"/>
  <c r="B43" i="14" s="1"/>
  <c r="D43" i="14" s="1"/>
  <c r="F43" i="14" s="1"/>
  <c r="B43" i="15" s="1"/>
  <c r="D43" i="15" s="1"/>
  <c r="F43" i="15" s="1"/>
  <c r="B43" i="16" s="1"/>
  <c r="D43" i="16" s="1"/>
  <c r="F43" i="16" s="1"/>
  <c r="B43" i="17" s="1"/>
  <c r="D43" i="17" s="1"/>
  <c r="F43" i="17" s="1"/>
  <c r="B43" i="18" s="1"/>
  <c r="D43" i="18" s="1"/>
  <c r="F43" i="18" s="1"/>
  <c r="B43" i="19" s="1"/>
  <c r="D43" i="19" s="1"/>
  <c r="F43" i="19" s="1"/>
  <c r="B43" i="20" s="1"/>
  <c r="D43" i="20" s="1"/>
  <c r="F43" i="20" s="1"/>
  <c r="B43" i="21" s="1"/>
  <c r="D43" i="21" s="1"/>
  <c r="F43" i="21" s="1"/>
  <c r="B43" i="22" s="1"/>
  <c r="D43" i="22" s="1"/>
  <c r="F43" i="22" s="1"/>
  <c r="B43" i="23" s="1"/>
  <c r="D43" i="23" s="1"/>
  <c r="F43" i="23" s="1"/>
  <c r="B43" i="24" s="1"/>
  <c r="D43" i="24" s="1"/>
  <c r="F43" i="24" s="1"/>
  <c r="B43" i="25" s="1"/>
  <c r="D43" i="25" s="1"/>
  <c r="F43" i="25" s="1"/>
  <c r="B43" i="26" s="1"/>
  <c r="D43" i="26" s="1"/>
  <c r="F43" i="26" s="1"/>
  <c r="B43" i="27" s="1"/>
  <c r="D43" i="27" s="1"/>
  <c r="F43" i="27" s="1"/>
  <c r="B43" i="28" s="1"/>
  <c r="D43" i="28" s="1"/>
  <c r="F43" i="28" s="1"/>
  <c r="B43" i="29" s="1"/>
  <c r="D43" i="29" s="1"/>
  <c r="F43" i="29" s="1"/>
  <c r="B43" i="30" s="1"/>
  <c r="D43" i="30" s="1"/>
  <c r="F43" i="30" s="1"/>
  <c r="B43" i="31" s="1"/>
  <c r="D43" i="31" s="1"/>
  <c r="F43" i="31" s="1"/>
  <c r="B42" i="32" s="1"/>
  <c r="D42" i="32" s="1"/>
  <c r="F42" i="32" s="1"/>
  <c r="D41" i="1"/>
  <c r="F41" i="1" s="1"/>
  <c r="B41" i="3" s="1"/>
  <c r="D41" i="3" s="1"/>
  <c r="F41" i="3" s="1"/>
  <c r="B41" i="4" s="1"/>
  <c r="D41" i="4" s="1"/>
  <c r="F41" i="4" s="1"/>
  <c r="B41" i="5" s="1"/>
  <c r="D41" i="5" s="1"/>
  <c r="F41" i="5" s="1"/>
  <c r="B42" i="6" s="1"/>
  <c r="D42" i="6" s="1"/>
  <c r="F42" i="6" s="1"/>
  <c r="B41" i="7" s="1"/>
  <c r="D41" i="7" s="1"/>
  <c r="F41" i="7" s="1"/>
  <c r="B42" i="8" s="1"/>
  <c r="D42" i="8" s="1"/>
  <c r="F42" i="8" s="1"/>
  <c r="B42" i="9" s="1"/>
  <c r="D42" i="9" s="1"/>
  <c r="F42" i="9" s="1"/>
  <c r="B42" i="10" s="1"/>
  <c r="D42" i="10" s="1"/>
  <c r="F42" i="10" s="1"/>
  <c r="B42" i="11" s="1"/>
  <c r="D42" i="11" s="1"/>
  <c r="F42" i="11" s="1"/>
  <c r="B42" i="12" s="1"/>
  <c r="D42" i="12" s="1"/>
  <c r="F42" i="12" s="1"/>
  <c r="B42" i="13" s="1"/>
  <c r="D42" i="13" s="1"/>
  <c r="F42" i="13" s="1"/>
  <c r="B42" i="14" s="1"/>
  <c r="D42" i="14" s="1"/>
  <c r="F42" i="14" s="1"/>
  <c r="B42" i="15" s="1"/>
  <c r="D42" i="15" s="1"/>
  <c r="F42" i="15" s="1"/>
  <c r="B42" i="16" s="1"/>
  <c r="D42" i="16" s="1"/>
  <c r="F42" i="16" s="1"/>
  <c r="B42" i="17" s="1"/>
  <c r="D42" i="17" s="1"/>
  <c r="F42" i="17" s="1"/>
  <c r="B42" i="18" s="1"/>
  <c r="D42" i="18" s="1"/>
  <c r="F42" i="18" s="1"/>
  <c r="B42" i="19" s="1"/>
  <c r="D42" i="19" s="1"/>
  <c r="F42" i="19" s="1"/>
  <c r="B42" i="20" s="1"/>
  <c r="D42" i="20" s="1"/>
  <c r="F42" i="20" s="1"/>
  <c r="B42" i="21" s="1"/>
  <c r="D42" i="21" s="1"/>
  <c r="F42" i="21" s="1"/>
  <c r="B42" i="22" s="1"/>
  <c r="D42" i="22" s="1"/>
  <c r="F42" i="22" s="1"/>
  <c r="B42" i="23" s="1"/>
  <c r="D42" i="23" s="1"/>
  <c r="F42" i="23" s="1"/>
  <c r="B42" i="24" s="1"/>
  <c r="D42" i="24" s="1"/>
  <c r="F42" i="24" s="1"/>
  <c r="B42" i="25" s="1"/>
  <c r="D42" i="25" s="1"/>
  <c r="F42" i="25" s="1"/>
  <c r="B42" i="26" s="1"/>
  <c r="D42" i="26" s="1"/>
  <c r="F42" i="26" s="1"/>
  <c r="B42" i="27" s="1"/>
  <c r="D42" i="27" s="1"/>
  <c r="F42" i="27" s="1"/>
  <c r="B42" i="28" s="1"/>
  <c r="D42" i="28" s="1"/>
  <c r="F42" i="28" s="1"/>
  <c r="B42" i="29" s="1"/>
  <c r="D42" i="29" s="1"/>
  <c r="F42" i="29" s="1"/>
  <c r="B42" i="30" s="1"/>
  <c r="D42" i="30" s="1"/>
  <c r="F42" i="30" s="1"/>
  <c r="B42" i="31" s="1"/>
  <c r="D42" i="31" s="1"/>
  <c r="F42" i="31" s="1"/>
  <c r="B41" i="32" s="1"/>
  <c r="D41" i="32" s="1"/>
  <c r="F41" i="32" s="1"/>
  <c r="D40" i="1"/>
  <c r="F40" i="1" s="1"/>
  <c r="B40" i="3" s="1"/>
  <c r="D40" i="3" s="1"/>
  <c r="F40" i="3" s="1"/>
  <c r="B40" i="4" s="1"/>
  <c r="D40" i="4" s="1"/>
  <c r="F40" i="4" s="1"/>
  <c r="B40" i="5" s="1"/>
  <c r="D40" i="5" s="1"/>
  <c r="F40" i="5" s="1"/>
  <c r="B41" i="6" s="1"/>
  <c r="D41" i="6" s="1"/>
  <c r="F41" i="6" s="1"/>
  <c r="B40" i="7" s="1"/>
  <c r="D40" i="7" s="1"/>
  <c r="F40" i="7" s="1"/>
  <c r="B41" i="8" s="1"/>
  <c r="D41" i="8" s="1"/>
  <c r="F41" i="8" s="1"/>
  <c r="B41" i="9" s="1"/>
  <c r="D41" i="9" s="1"/>
  <c r="F41" i="9" s="1"/>
  <c r="B41" i="10" s="1"/>
  <c r="D41" i="10" s="1"/>
  <c r="F41" i="10" s="1"/>
  <c r="B41" i="11" s="1"/>
  <c r="D41" i="11" s="1"/>
  <c r="F41" i="11" s="1"/>
  <c r="B41" i="12" s="1"/>
  <c r="D41" i="12" s="1"/>
  <c r="F41" i="12" s="1"/>
  <c r="B41" i="13" s="1"/>
  <c r="D41" i="13" s="1"/>
  <c r="F41" i="13" s="1"/>
  <c r="B41" i="14" s="1"/>
  <c r="D41" i="14" s="1"/>
  <c r="F41" i="14" s="1"/>
  <c r="B41" i="15" s="1"/>
  <c r="D41" i="15" s="1"/>
  <c r="F41" i="15" s="1"/>
  <c r="B41" i="16" s="1"/>
  <c r="D41" i="16" s="1"/>
  <c r="F41" i="16" s="1"/>
  <c r="B41" i="17" s="1"/>
  <c r="D41" i="17" s="1"/>
  <c r="F41" i="17" s="1"/>
  <c r="B41" i="18" s="1"/>
  <c r="D41" i="18" s="1"/>
  <c r="F41" i="18" s="1"/>
  <c r="B41" i="19" s="1"/>
  <c r="D41" i="19" s="1"/>
  <c r="F41" i="19" s="1"/>
  <c r="B41" i="20" s="1"/>
  <c r="D41" i="20" s="1"/>
  <c r="F41" i="20" s="1"/>
  <c r="B41" i="21" s="1"/>
  <c r="D41" i="21" s="1"/>
  <c r="F41" i="21" s="1"/>
  <c r="B41" i="22" s="1"/>
  <c r="D41" i="22" s="1"/>
  <c r="F41" i="22" s="1"/>
  <c r="B41" i="23" s="1"/>
  <c r="D41" i="23" s="1"/>
  <c r="F41" i="23" s="1"/>
  <c r="B41" i="24" s="1"/>
  <c r="D41" i="24" s="1"/>
  <c r="F41" i="24" s="1"/>
  <c r="B41" i="25" s="1"/>
  <c r="D41" i="25" s="1"/>
  <c r="F41" i="25" s="1"/>
  <c r="B41" i="26" s="1"/>
  <c r="D41" i="26" s="1"/>
  <c r="F41" i="26" s="1"/>
  <c r="B41" i="27" s="1"/>
  <c r="D41" i="27" s="1"/>
  <c r="F41" i="27" s="1"/>
  <c r="B41" i="28" s="1"/>
  <c r="D41" i="28" s="1"/>
  <c r="F41" i="28" s="1"/>
  <c r="B41" i="29" s="1"/>
  <c r="D41" i="29" s="1"/>
  <c r="F41" i="29" s="1"/>
  <c r="B41" i="30" s="1"/>
  <c r="D41" i="30" s="1"/>
  <c r="F41" i="30" s="1"/>
  <c r="B41" i="31" s="1"/>
  <c r="D41" i="31" s="1"/>
  <c r="F41" i="31" s="1"/>
  <c r="B40" i="32" s="1"/>
  <c r="D40" i="32" s="1"/>
  <c r="F40" i="32" s="1"/>
  <c r="D39" i="1"/>
  <c r="F39" i="1" s="1"/>
  <c r="B39" i="3" s="1"/>
  <c r="D39" i="3" s="1"/>
  <c r="F39" i="3" s="1"/>
  <c r="B39" i="4" s="1"/>
  <c r="D39" i="4" s="1"/>
  <c r="F39" i="4" s="1"/>
  <c r="B39" i="5" s="1"/>
  <c r="D39" i="5" s="1"/>
  <c r="F39" i="5" s="1"/>
  <c r="B40" i="6" s="1"/>
  <c r="D40" i="6" s="1"/>
  <c r="F40" i="6" s="1"/>
  <c r="B39" i="7" s="1"/>
  <c r="D39" i="7" s="1"/>
  <c r="F39" i="7" s="1"/>
  <c r="B40" i="8" s="1"/>
  <c r="D40" i="8" s="1"/>
  <c r="F40" i="8" s="1"/>
  <c r="B40" i="9" s="1"/>
  <c r="D40" i="9" s="1"/>
  <c r="F40" i="9" s="1"/>
  <c r="B40" i="10" s="1"/>
  <c r="D40" i="10" s="1"/>
  <c r="F40" i="10" s="1"/>
  <c r="B40" i="11" s="1"/>
  <c r="D40" i="11" s="1"/>
  <c r="F40" i="11" s="1"/>
  <c r="B40" i="12" s="1"/>
  <c r="D40" i="12" s="1"/>
  <c r="F40" i="12" s="1"/>
  <c r="B40" i="13" s="1"/>
  <c r="D40" i="13" s="1"/>
  <c r="F40" i="13" s="1"/>
  <c r="B40" i="14" s="1"/>
  <c r="D40" i="14" s="1"/>
  <c r="F40" i="14" s="1"/>
  <c r="B40" i="15" s="1"/>
  <c r="D40" i="15" s="1"/>
  <c r="F40" i="15" s="1"/>
  <c r="B40" i="16" s="1"/>
  <c r="D40" i="16" s="1"/>
  <c r="F40" i="16" s="1"/>
  <c r="B40" i="17" s="1"/>
  <c r="D40" i="17" s="1"/>
  <c r="F40" i="17" s="1"/>
  <c r="B40" i="18" s="1"/>
  <c r="D40" i="18" s="1"/>
  <c r="F40" i="18" s="1"/>
  <c r="B40" i="19" s="1"/>
  <c r="D40" i="19" s="1"/>
  <c r="F40" i="19" s="1"/>
  <c r="B40" i="20" s="1"/>
  <c r="D40" i="20" s="1"/>
  <c r="F40" i="20" s="1"/>
  <c r="B40" i="21" s="1"/>
  <c r="D40" i="21" s="1"/>
  <c r="F40" i="21" s="1"/>
  <c r="B40" i="22" s="1"/>
  <c r="D40" i="22" s="1"/>
  <c r="F40" i="22" s="1"/>
  <c r="B40" i="23" s="1"/>
  <c r="D40" i="23" s="1"/>
  <c r="F40" i="23" s="1"/>
  <c r="B40" i="24" s="1"/>
  <c r="D40" i="24" s="1"/>
  <c r="F40" i="24" s="1"/>
  <c r="B40" i="25" s="1"/>
  <c r="D40" i="25" s="1"/>
  <c r="F40" i="25" s="1"/>
  <c r="B40" i="26" s="1"/>
  <c r="D40" i="26" s="1"/>
  <c r="F40" i="26" s="1"/>
  <c r="B40" i="27" s="1"/>
  <c r="D40" i="27" s="1"/>
  <c r="F40" i="27" s="1"/>
  <c r="B40" i="28" s="1"/>
  <c r="D40" i="28" s="1"/>
  <c r="F40" i="28" s="1"/>
  <c r="B40" i="29" s="1"/>
  <c r="D40" i="29" s="1"/>
  <c r="F40" i="29" s="1"/>
  <c r="B40" i="30" s="1"/>
  <c r="D40" i="30" s="1"/>
  <c r="F40" i="30" s="1"/>
  <c r="B40" i="31" s="1"/>
  <c r="D40" i="31" s="1"/>
  <c r="F40" i="31" s="1"/>
  <c r="B39" i="32" s="1"/>
  <c r="D39" i="32" s="1"/>
  <c r="F39" i="32" s="1"/>
  <c r="D38" i="1"/>
  <c r="F38" i="1" s="1"/>
  <c r="B38" i="3" s="1"/>
  <c r="D38" i="3" s="1"/>
  <c r="F38" i="3" s="1"/>
  <c r="B38" i="4" s="1"/>
  <c r="D38" i="4" s="1"/>
  <c r="F38" i="4" s="1"/>
  <c r="B38" i="5" s="1"/>
  <c r="D38" i="5" s="1"/>
  <c r="F38" i="5" s="1"/>
  <c r="B39" i="6" s="1"/>
  <c r="D39" i="6" s="1"/>
  <c r="F39" i="6" s="1"/>
  <c r="B38" i="7" s="1"/>
  <c r="D38" i="7" s="1"/>
  <c r="F38" i="7" s="1"/>
  <c r="B39" i="8" s="1"/>
  <c r="D39" i="8" s="1"/>
  <c r="F39" i="8" s="1"/>
  <c r="B39" i="9" s="1"/>
  <c r="D39" i="9" s="1"/>
  <c r="F39" i="9" s="1"/>
  <c r="B39" i="10" s="1"/>
  <c r="D39" i="10" s="1"/>
  <c r="F39" i="10" s="1"/>
  <c r="B39" i="11" s="1"/>
  <c r="D39" i="11" s="1"/>
  <c r="F39" i="11" s="1"/>
  <c r="B39" i="12" s="1"/>
  <c r="D39" i="12" s="1"/>
  <c r="F39" i="12" s="1"/>
  <c r="B39" i="13" s="1"/>
  <c r="D39" i="13" s="1"/>
  <c r="F39" i="13" s="1"/>
  <c r="B39" i="14" s="1"/>
  <c r="D39" i="14" s="1"/>
  <c r="F39" i="14" s="1"/>
  <c r="B39" i="15" s="1"/>
  <c r="D39" i="15" s="1"/>
  <c r="F39" i="15" s="1"/>
  <c r="B39" i="16" s="1"/>
  <c r="D39" i="16" s="1"/>
  <c r="F39" i="16" s="1"/>
  <c r="B39" i="17" s="1"/>
  <c r="D39" i="17" s="1"/>
  <c r="F39" i="17" s="1"/>
  <c r="B39" i="18" s="1"/>
  <c r="D39" i="18" s="1"/>
  <c r="F39" i="18" s="1"/>
  <c r="B39" i="19" s="1"/>
  <c r="D39" i="19" s="1"/>
  <c r="F39" i="19" s="1"/>
  <c r="B39" i="20" s="1"/>
  <c r="D39" i="20" s="1"/>
  <c r="F39" i="20" s="1"/>
  <c r="B39" i="21" s="1"/>
  <c r="D39" i="21" s="1"/>
  <c r="F39" i="21" s="1"/>
  <c r="B39" i="22" s="1"/>
  <c r="D39" i="22" s="1"/>
  <c r="F39" i="22" s="1"/>
  <c r="B39" i="23" s="1"/>
  <c r="D39" i="23" s="1"/>
  <c r="F39" i="23" s="1"/>
  <c r="B39" i="24" s="1"/>
  <c r="D39" i="24" s="1"/>
  <c r="F39" i="24" s="1"/>
  <c r="B39" i="25" s="1"/>
  <c r="D39" i="25" s="1"/>
  <c r="F39" i="25" s="1"/>
  <c r="B39" i="26" s="1"/>
  <c r="D39" i="26" s="1"/>
  <c r="F39" i="26" s="1"/>
  <c r="B39" i="27" s="1"/>
  <c r="D39" i="27" s="1"/>
  <c r="F39" i="27" s="1"/>
  <c r="B39" i="28" s="1"/>
  <c r="D39" i="28" s="1"/>
  <c r="F39" i="28" s="1"/>
  <c r="B39" i="29" s="1"/>
  <c r="D39" i="29" s="1"/>
  <c r="F39" i="29" s="1"/>
  <c r="B39" i="30" s="1"/>
  <c r="D39" i="30" s="1"/>
  <c r="F39" i="30" s="1"/>
  <c r="B39" i="31" s="1"/>
  <c r="D39" i="31" s="1"/>
  <c r="F39" i="31" s="1"/>
  <c r="B38" i="32" s="1"/>
  <c r="D38" i="32" s="1"/>
  <c r="F38" i="32" s="1"/>
  <c r="D37" i="1"/>
  <c r="F37" i="1" s="1"/>
  <c r="B37" i="3" s="1"/>
  <c r="D37" i="3" s="1"/>
  <c r="F37" i="3" s="1"/>
  <c r="B37" i="4" s="1"/>
  <c r="D37" i="4" s="1"/>
  <c r="F37" i="4" s="1"/>
  <c r="B37" i="5" s="1"/>
  <c r="D37" i="5" s="1"/>
  <c r="F37" i="5" s="1"/>
  <c r="B38" i="6" s="1"/>
  <c r="D38" i="6" s="1"/>
  <c r="F38" i="6" s="1"/>
  <c r="B37" i="7" s="1"/>
  <c r="D37" i="7" s="1"/>
  <c r="F37" i="7" s="1"/>
  <c r="B38" i="8" s="1"/>
  <c r="D38" i="8" s="1"/>
  <c r="F38" i="8" s="1"/>
  <c r="B38" i="9" s="1"/>
  <c r="D38" i="9" s="1"/>
  <c r="F38" i="9" s="1"/>
  <c r="B38" i="10" s="1"/>
  <c r="D38" i="10" s="1"/>
  <c r="F38" i="10" s="1"/>
  <c r="B38" i="11" s="1"/>
  <c r="D38" i="11" s="1"/>
  <c r="F38" i="11" s="1"/>
  <c r="B38" i="12" s="1"/>
  <c r="D38" i="12" s="1"/>
  <c r="F38" i="12" s="1"/>
  <c r="B38" i="13" s="1"/>
  <c r="D38" i="13" s="1"/>
  <c r="F38" i="13" s="1"/>
  <c r="B38" i="14" s="1"/>
  <c r="D38" i="14" s="1"/>
  <c r="F38" i="14" s="1"/>
  <c r="B38" i="15" s="1"/>
  <c r="D38" i="15" s="1"/>
  <c r="F38" i="15" s="1"/>
  <c r="B38" i="16" s="1"/>
  <c r="D38" i="16" s="1"/>
  <c r="F38" i="16" s="1"/>
  <c r="B38" i="17" s="1"/>
  <c r="D38" i="17" s="1"/>
  <c r="F38" i="17" s="1"/>
  <c r="B38" i="18" s="1"/>
  <c r="D38" i="18" s="1"/>
  <c r="F38" i="18" s="1"/>
  <c r="B38" i="19" s="1"/>
  <c r="D38" i="19" s="1"/>
  <c r="F38" i="19" s="1"/>
  <c r="B38" i="20" s="1"/>
  <c r="D38" i="20" s="1"/>
  <c r="F38" i="20" s="1"/>
  <c r="B38" i="21" s="1"/>
  <c r="D38" i="21" s="1"/>
  <c r="F38" i="21" s="1"/>
  <c r="B38" i="22" s="1"/>
  <c r="D38" i="22" s="1"/>
  <c r="F38" i="22" s="1"/>
  <c r="B38" i="23" s="1"/>
  <c r="D38" i="23" s="1"/>
  <c r="F38" i="23" s="1"/>
  <c r="B38" i="24" s="1"/>
  <c r="D38" i="24" s="1"/>
  <c r="F38" i="24" s="1"/>
  <c r="B38" i="25" s="1"/>
  <c r="D38" i="25" s="1"/>
  <c r="F38" i="25" s="1"/>
  <c r="B38" i="26" s="1"/>
  <c r="D38" i="26" s="1"/>
  <c r="F38" i="26" s="1"/>
  <c r="B38" i="27" s="1"/>
  <c r="D38" i="27" s="1"/>
  <c r="F38" i="27" s="1"/>
  <c r="B38" i="28" s="1"/>
  <c r="D38" i="28" s="1"/>
  <c r="F38" i="28" s="1"/>
  <c r="B38" i="29" s="1"/>
  <c r="D38" i="29" s="1"/>
  <c r="F38" i="29" s="1"/>
  <c r="B38" i="30" s="1"/>
  <c r="D38" i="30" s="1"/>
  <c r="F38" i="30" s="1"/>
  <c r="B38" i="31" s="1"/>
  <c r="D38" i="31" s="1"/>
  <c r="F38" i="31" s="1"/>
  <c r="B37" i="32" s="1"/>
  <c r="D37" i="32" s="1"/>
  <c r="F37" i="32" s="1"/>
  <c r="D36" i="1"/>
  <c r="F36" i="1" s="1"/>
  <c r="B36" i="3" s="1"/>
  <c r="D36" i="3" s="1"/>
  <c r="F36" i="3" s="1"/>
  <c r="B36" i="4" s="1"/>
  <c r="D36" i="4" s="1"/>
  <c r="F36" i="4" s="1"/>
  <c r="B36" i="5" s="1"/>
  <c r="D36" i="5" s="1"/>
  <c r="F36" i="5" s="1"/>
  <c r="B37" i="6" s="1"/>
  <c r="D37" i="6" s="1"/>
  <c r="F37" i="6" s="1"/>
  <c r="B36" i="7" s="1"/>
  <c r="D36" i="7" s="1"/>
  <c r="F36" i="7" s="1"/>
  <c r="B37" i="8" s="1"/>
  <c r="D37" i="8" s="1"/>
  <c r="F37" i="8" s="1"/>
  <c r="B37" i="9" s="1"/>
  <c r="D37" i="9" s="1"/>
  <c r="F37" i="9" s="1"/>
  <c r="B37" i="10" s="1"/>
  <c r="D37" i="10" s="1"/>
  <c r="F37" i="10" s="1"/>
  <c r="B37" i="11" s="1"/>
  <c r="D37" i="11" s="1"/>
  <c r="F37" i="11" s="1"/>
  <c r="B37" i="12" s="1"/>
  <c r="D37" i="12" s="1"/>
  <c r="F37" i="12" s="1"/>
  <c r="B37" i="13" s="1"/>
  <c r="D37" i="13" s="1"/>
  <c r="F37" i="13" s="1"/>
  <c r="B37" i="14" s="1"/>
  <c r="D37" i="14" s="1"/>
  <c r="F37" i="14" s="1"/>
  <c r="B37" i="15" s="1"/>
  <c r="D37" i="15" s="1"/>
  <c r="F37" i="15" s="1"/>
  <c r="B37" i="16" s="1"/>
  <c r="D37" i="16" s="1"/>
  <c r="F37" i="16" s="1"/>
  <c r="B37" i="17" s="1"/>
  <c r="D37" i="17" s="1"/>
  <c r="F37" i="17" s="1"/>
  <c r="B37" i="18" s="1"/>
  <c r="D37" i="18" s="1"/>
  <c r="F37" i="18" s="1"/>
  <c r="B37" i="19" s="1"/>
  <c r="D37" i="19" s="1"/>
  <c r="F37" i="19" s="1"/>
  <c r="B37" i="20" s="1"/>
  <c r="D37" i="20" s="1"/>
  <c r="F37" i="20" s="1"/>
  <c r="B37" i="21" s="1"/>
  <c r="D37" i="21" s="1"/>
  <c r="F37" i="21" s="1"/>
  <c r="B37" i="22" s="1"/>
  <c r="D37" i="22" s="1"/>
  <c r="F37" i="22" s="1"/>
  <c r="B37" i="23" s="1"/>
  <c r="D37" i="23" s="1"/>
  <c r="F37" i="23" s="1"/>
  <c r="B37" i="24" s="1"/>
  <c r="D37" i="24" s="1"/>
  <c r="F37" i="24" s="1"/>
  <c r="B37" i="25" s="1"/>
  <c r="D37" i="25" s="1"/>
  <c r="F37" i="25" s="1"/>
  <c r="B37" i="26" s="1"/>
  <c r="D37" i="26" s="1"/>
  <c r="F37" i="26" s="1"/>
  <c r="B37" i="27" s="1"/>
  <c r="D37" i="27" s="1"/>
  <c r="F37" i="27" s="1"/>
  <c r="B37" i="28" s="1"/>
  <c r="D37" i="28" s="1"/>
  <c r="F37" i="28" s="1"/>
  <c r="B37" i="29" s="1"/>
  <c r="D37" i="29" s="1"/>
  <c r="F37" i="29" s="1"/>
  <c r="B37" i="30" s="1"/>
  <c r="D37" i="30" s="1"/>
  <c r="F37" i="30" s="1"/>
  <c r="B37" i="31" s="1"/>
  <c r="D37" i="31" s="1"/>
  <c r="F37" i="31" s="1"/>
  <c r="B36" i="32" s="1"/>
  <c r="D36" i="32" s="1"/>
  <c r="F36" i="32" s="1"/>
  <c r="D35" i="1"/>
  <c r="F35" i="1" s="1"/>
  <c r="B35" i="3" s="1"/>
  <c r="D35" i="3" s="1"/>
  <c r="F35" i="3" s="1"/>
  <c r="B35" i="4" s="1"/>
  <c r="D35" i="4" s="1"/>
  <c r="F35" i="4" s="1"/>
  <c r="B35" i="5" s="1"/>
  <c r="D35" i="5" s="1"/>
  <c r="F35" i="5" s="1"/>
  <c r="B36" i="6" s="1"/>
  <c r="D36" i="6" s="1"/>
  <c r="F36" i="6" s="1"/>
  <c r="B35" i="7" s="1"/>
  <c r="D35" i="7" s="1"/>
  <c r="F35" i="7" s="1"/>
  <c r="B36" i="8" s="1"/>
  <c r="D36" i="8" s="1"/>
  <c r="F36" i="8" s="1"/>
  <c r="B36" i="9" s="1"/>
  <c r="D36" i="9" s="1"/>
  <c r="F36" i="9" s="1"/>
  <c r="B36" i="10" s="1"/>
  <c r="D36" i="10" s="1"/>
  <c r="F36" i="10" s="1"/>
  <c r="B36" i="11" s="1"/>
  <c r="D36" i="11" s="1"/>
  <c r="F36" i="11" s="1"/>
  <c r="B36" i="12" s="1"/>
  <c r="D36" i="12" s="1"/>
  <c r="F36" i="12" s="1"/>
  <c r="B36" i="13" s="1"/>
  <c r="D36" i="13" s="1"/>
  <c r="F36" i="13" s="1"/>
  <c r="B36" i="14" s="1"/>
  <c r="D36" i="14" s="1"/>
  <c r="F36" i="14" s="1"/>
  <c r="B36" i="15" s="1"/>
  <c r="D36" i="15" s="1"/>
  <c r="F36" i="15" s="1"/>
  <c r="B36" i="16" s="1"/>
  <c r="D36" i="16" s="1"/>
  <c r="F36" i="16" s="1"/>
  <c r="B36" i="17" s="1"/>
  <c r="D36" i="17" s="1"/>
  <c r="F36" i="17" s="1"/>
  <c r="B36" i="18" s="1"/>
  <c r="D36" i="18" s="1"/>
  <c r="F36" i="18" s="1"/>
  <c r="B36" i="19" s="1"/>
  <c r="D36" i="19" s="1"/>
  <c r="F36" i="19" s="1"/>
  <c r="B36" i="20" s="1"/>
  <c r="D36" i="20" s="1"/>
  <c r="F36" i="20" s="1"/>
  <c r="B36" i="21" s="1"/>
  <c r="D36" i="21" s="1"/>
  <c r="F36" i="21" s="1"/>
  <c r="B36" i="22" s="1"/>
  <c r="D36" i="22" s="1"/>
  <c r="F36" i="22" s="1"/>
  <c r="B36" i="23" s="1"/>
  <c r="D36" i="23" s="1"/>
  <c r="F36" i="23" s="1"/>
  <c r="B36" i="24" s="1"/>
  <c r="D36" i="24" s="1"/>
  <c r="F36" i="24" s="1"/>
  <c r="B36" i="25" s="1"/>
  <c r="D36" i="25" s="1"/>
  <c r="F36" i="25" s="1"/>
  <c r="B36" i="26" s="1"/>
  <c r="D36" i="26" s="1"/>
  <c r="F36" i="26" s="1"/>
  <c r="B36" i="27" s="1"/>
  <c r="D36" i="27" s="1"/>
  <c r="F36" i="27" s="1"/>
  <c r="D31" i="1"/>
  <c r="G31" i="1" s="1"/>
  <c r="D30" i="1"/>
  <c r="J26" i="1"/>
  <c r="H26" i="1"/>
  <c r="G26" i="3" s="1"/>
  <c r="H26" i="3" s="1"/>
  <c r="G26" i="4" s="1"/>
  <c r="H26" i="4" s="1"/>
  <c r="G26" i="5" s="1"/>
  <c r="H26" i="5" s="1"/>
  <c r="G27" i="6" s="1"/>
  <c r="H27" i="6" s="1"/>
  <c r="G26" i="7" s="1"/>
  <c r="H26" i="7" s="1"/>
  <c r="G27" i="8" s="1"/>
  <c r="H27" i="8" s="1"/>
  <c r="G27" i="9" s="1"/>
  <c r="H27" i="9" s="1"/>
  <c r="G27" i="10" s="1"/>
  <c r="H27" i="10" s="1"/>
  <c r="G27" i="11" s="1"/>
  <c r="H27" i="11" s="1"/>
  <c r="G27" i="12" s="1"/>
  <c r="H27" i="12" s="1"/>
  <c r="G27" i="13" s="1"/>
  <c r="H27" i="13" s="1"/>
  <c r="G27" i="14" s="1"/>
  <c r="H27" i="14" s="1"/>
  <c r="G27" i="15" s="1"/>
  <c r="H27" i="15" s="1"/>
  <c r="G27" i="16" s="1"/>
  <c r="H27" i="16" s="1"/>
  <c r="G27" i="17" s="1"/>
  <c r="H27" i="17" s="1"/>
  <c r="G27" i="18" s="1"/>
  <c r="H27" i="18" s="1"/>
  <c r="G27" i="19" s="1"/>
  <c r="H27" i="19" s="1"/>
  <c r="G27" i="20" s="1"/>
  <c r="H27" i="20" s="1"/>
  <c r="G27" i="21" s="1"/>
  <c r="H27" i="21" s="1"/>
  <c r="G27" i="22" s="1"/>
  <c r="H27" i="22" s="1"/>
  <c r="G27" i="23" s="1"/>
  <c r="H27" i="23" s="1"/>
  <c r="G27" i="24" s="1"/>
  <c r="H27" i="24" s="1"/>
  <c r="G27" i="25" s="1"/>
  <c r="H27" i="25" s="1"/>
  <c r="G27" i="26" s="1"/>
  <c r="H27" i="26" s="1"/>
  <c r="G27" i="27" s="1"/>
  <c r="H27" i="27" s="1"/>
  <c r="G27" i="28" s="1"/>
  <c r="H27" i="28" s="1"/>
  <c r="G27" i="29" s="1"/>
  <c r="H27" i="29" s="1"/>
  <c r="G27" i="30" s="1"/>
  <c r="H27" i="30" s="1"/>
  <c r="G27" i="31" s="1"/>
  <c r="H27" i="31" s="1"/>
  <c r="G26" i="32" s="1"/>
  <c r="H26" i="32" s="1"/>
  <c r="D26" i="1"/>
  <c r="I26" i="1" s="1"/>
  <c r="B26" i="3" s="1"/>
  <c r="D26" i="3" s="1"/>
  <c r="I26" i="3" s="1"/>
  <c r="B26" i="4" s="1"/>
  <c r="D26" i="4" s="1"/>
  <c r="I26" i="4" s="1"/>
  <c r="B26" i="5" s="1"/>
  <c r="D26" i="5" s="1"/>
  <c r="I26" i="5" s="1"/>
  <c r="B27" i="6" s="1"/>
  <c r="D27" i="6" s="1"/>
  <c r="I27" i="6" s="1"/>
  <c r="B26" i="7" s="1"/>
  <c r="D26" i="7" s="1"/>
  <c r="I26" i="7" s="1"/>
  <c r="B27" i="8" s="1"/>
  <c r="D27" i="8" s="1"/>
  <c r="I27" i="8" s="1"/>
  <c r="B27" i="9" s="1"/>
  <c r="D27" i="9" s="1"/>
  <c r="I27" i="9" s="1"/>
  <c r="B27" i="10" s="1"/>
  <c r="D27" i="10" s="1"/>
  <c r="I27" i="10" s="1"/>
  <c r="B27" i="11" s="1"/>
  <c r="D27" i="11" s="1"/>
  <c r="I27" i="11" s="1"/>
  <c r="B27" i="12" s="1"/>
  <c r="D27" i="12" s="1"/>
  <c r="I27" i="12" s="1"/>
  <c r="B27" i="13" s="1"/>
  <c r="D27" i="13" s="1"/>
  <c r="I27" i="13" s="1"/>
  <c r="B27" i="14" s="1"/>
  <c r="D27" i="14" s="1"/>
  <c r="I27" i="14" s="1"/>
  <c r="B27" i="15" s="1"/>
  <c r="D27" i="15" s="1"/>
  <c r="I27" i="15" s="1"/>
  <c r="B27" i="16" s="1"/>
  <c r="D27" i="16" s="1"/>
  <c r="I27" i="16" s="1"/>
  <c r="B27" i="17" s="1"/>
  <c r="D27" i="17" s="1"/>
  <c r="I27" i="17" s="1"/>
  <c r="B27" i="18" s="1"/>
  <c r="D27" i="18" s="1"/>
  <c r="I27" i="18" s="1"/>
  <c r="B27" i="19" s="1"/>
  <c r="D27" i="19" s="1"/>
  <c r="I27" i="19" s="1"/>
  <c r="B27" i="20" s="1"/>
  <c r="D27" i="20" s="1"/>
  <c r="I27" i="20" s="1"/>
  <c r="B27" i="21" s="1"/>
  <c r="D27" i="21" s="1"/>
  <c r="I27" i="21" s="1"/>
  <c r="B27" i="22" s="1"/>
  <c r="D27" i="22" s="1"/>
  <c r="I27" i="22" s="1"/>
  <c r="B27" i="23" s="1"/>
  <c r="D27" i="23" s="1"/>
  <c r="I27" i="23" s="1"/>
  <c r="B27" i="24" s="1"/>
  <c r="D27" i="24" s="1"/>
  <c r="I27" i="24" s="1"/>
  <c r="B27" i="25" s="1"/>
  <c r="D27" i="25" s="1"/>
  <c r="I27" i="25" s="1"/>
  <c r="B27" i="26" s="1"/>
  <c r="D27" i="26" s="1"/>
  <c r="I27" i="26" s="1"/>
  <c r="B27" i="27" s="1"/>
  <c r="D27" i="27" s="1"/>
  <c r="I27" i="27" s="1"/>
  <c r="B27" i="28" s="1"/>
  <c r="D27" i="28" s="1"/>
  <c r="I27" i="28" s="1"/>
  <c r="B27" i="29" s="1"/>
  <c r="D27" i="29" s="1"/>
  <c r="I27" i="29" s="1"/>
  <c r="B27" i="30" s="1"/>
  <c r="D27" i="30" s="1"/>
  <c r="I27" i="30" s="1"/>
  <c r="B27" i="31" s="1"/>
  <c r="D27" i="31" s="1"/>
  <c r="I27" i="31" s="1"/>
  <c r="B26" i="32" s="1"/>
  <c r="D26" i="32" s="1"/>
  <c r="I26" i="32" s="1"/>
  <c r="J25" i="1"/>
  <c r="H25" i="1"/>
  <c r="G25" i="3" s="1"/>
  <c r="H25" i="3" s="1"/>
  <c r="G25" i="4" s="1"/>
  <c r="H25" i="4" s="1"/>
  <c r="G25" i="5" s="1"/>
  <c r="H25" i="5" s="1"/>
  <c r="G26" i="6" s="1"/>
  <c r="H26" i="6" s="1"/>
  <c r="G25" i="7" s="1"/>
  <c r="H25" i="7" s="1"/>
  <c r="G26" i="8" s="1"/>
  <c r="H26" i="8" s="1"/>
  <c r="G26" i="9" s="1"/>
  <c r="H26" i="9" s="1"/>
  <c r="G26" i="10" s="1"/>
  <c r="H26" i="10" s="1"/>
  <c r="G26" i="11" s="1"/>
  <c r="H26" i="11" s="1"/>
  <c r="G26" i="12" s="1"/>
  <c r="H26" i="12" s="1"/>
  <c r="G26" i="13" s="1"/>
  <c r="H26" i="13" s="1"/>
  <c r="G26" i="14" s="1"/>
  <c r="H26" i="14" s="1"/>
  <c r="G26" i="15" s="1"/>
  <c r="H26" i="15" s="1"/>
  <c r="G26" i="16" s="1"/>
  <c r="H26" i="16" s="1"/>
  <c r="G26" i="17" s="1"/>
  <c r="H26" i="17" s="1"/>
  <c r="G26" i="18" s="1"/>
  <c r="H26" i="18" s="1"/>
  <c r="G26" i="19" s="1"/>
  <c r="H26" i="19" s="1"/>
  <c r="G26" i="20" s="1"/>
  <c r="H26" i="20" s="1"/>
  <c r="G26" i="21" s="1"/>
  <c r="H26" i="21" s="1"/>
  <c r="G26" i="22" s="1"/>
  <c r="H26" i="22" s="1"/>
  <c r="G26" i="23" s="1"/>
  <c r="H26" i="23" s="1"/>
  <c r="G26" i="24" s="1"/>
  <c r="H26" i="24" s="1"/>
  <c r="G26" i="25" s="1"/>
  <c r="H26" i="25" s="1"/>
  <c r="G26" i="26" s="1"/>
  <c r="H26" i="26" s="1"/>
  <c r="G26" i="27" s="1"/>
  <c r="H26" i="27" s="1"/>
  <c r="G26" i="28" s="1"/>
  <c r="H26" i="28" s="1"/>
  <c r="G26" i="29" s="1"/>
  <c r="H26" i="29" s="1"/>
  <c r="G26" i="30" s="1"/>
  <c r="H26" i="30" s="1"/>
  <c r="G26" i="31" s="1"/>
  <c r="H26" i="31" s="1"/>
  <c r="G25" i="32" s="1"/>
  <c r="H25" i="32" s="1"/>
  <c r="D25" i="1"/>
  <c r="I25" i="1" s="1"/>
  <c r="B25" i="3" s="1"/>
  <c r="D25" i="3" s="1"/>
  <c r="I25" i="3" s="1"/>
  <c r="B25" i="4" s="1"/>
  <c r="D25" i="4" s="1"/>
  <c r="I25" i="4" s="1"/>
  <c r="B25" i="5" s="1"/>
  <c r="D25" i="5" s="1"/>
  <c r="I25" i="5" s="1"/>
  <c r="B26" i="6" s="1"/>
  <c r="D26" i="6" s="1"/>
  <c r="I26" i="6" s="1"/>
  <c r="B25" i="7" s="1"/>
  <c r="D25" i="7" s="1"/>
  <c r="I25" i="7" s="1"/>
  <c r="B26" i="8" s="1"/>
  <c r="D26" i="8" s="1"/>
  <c r="I26" i="8" s="1"/>
  <c r="B26" i="9" s="1"/>
  <c r="D26" i="9" s="1"/>
  <c r="I26" i="9" s="1"/>
  <c r="B26" i="10" s="1"/>
  <c r="D26" i="10" s="1"/>
  <c r="I26" i="10" s="1"/>
  <c r="B26" i="11" s="1"/>
  <c r="D26" i="11" s="1"/>
  <c r="I26" i="11" s="1"/>
  <c r="B26" i="12" s="1"/>
  <c r="D26" i="12" s="1"/>
  <c r="I26" i="12" s="1"/>
  <c r="B26" i="13" s="1"/>
  <c r="D26" i="13" s="1"/>
  <c r="I26" i="13" s="1"/>
  <c r="B26" i="14" s="1"/>
  <c r="D26" i="14" s="1"/>
  <c r="I26" i="14" s="1"/>
  <c r="B26" i="15" s="1"/>
  <c r="D26" i="15" s="1"/>
  <c r="I26" i="15" s="1"/>
  <c r="B26" i="16" s="1"/>
  <c r="D26" i="16" s="1"/>
  <c r="I26" i="16" s="1"/>
  <c r="B26" i="17" s="1"/>
  <c r="D26" i="17" s="1"/>
  <c r="I26" i="17" s="1"/>
  <c r="B26" i="18" s="1"/>
  <c r="D26" i="18" s="1"/>
  <c r="I26" i="18" s="1"/>
  <c r="B26" i="19" s="1"/>
  <c r="D26" i="19" s="1"/>
  <c r="I26" i="19" s="1"/>
  <c r="B26" i="20" s="1"/>
  <c r="D26" i="20" s="1"/>
  <c r="I26" i="20" s="1"/>
  <c r="B26" i="21" s="1"/>
  <c r="D26" i="21" s="1"/>
  <c r="I26" i="21" s="1"/>
  <c r="B26" i="22" s="1"/>
  <c r="D26" i="22" s="1"/>
  <c r="I26" i="22" s="1"/>
  <c r="B26" i="23" s="1"/>
  <c r="D26" i="23" s="1"/>
  <c r="I26" i="23" s="1"/>
  <c r="B26" i="24" s="1"/>
  <c r="D26" i="24" s="1"/>
  <c r="I26" i="24" s="1"/>
  <c r="B26" i="25" s="1"/>
  <c r="D26" i="25" s="1"/>
  <c r="I26" i="25" s="1"/>
  <c r="B26" i="26" s="1"/>
  <c r="D26" i="26" s="1"/>
  <c r="I26" i="26" s="1"/>
  <c r="B26" i="27" s="1"/>
  <c r="D26" i="27" s="1"/>
  <c r="I26" i="27" s="1"/>
  <c r="B26" i="28" s="1"/>
  <c r="D26" i="28" s="1"/>
  <c r="I26" i="28" s="1"/>
  <c r="B26" i="29" s="1"/>
  <c r="D26" i="29" s="1"/>
  <c r="I26" i="29" s="1"/>
  <c r="B26" i="30" s="1"/>
  <c r="D26" i="30" s="1"/>
  <c r="I26" i="30" s="1"/>
  <c r="B26" i="31" s="1"/>
  <c r="D26" i="31" s="1"/>
  <c r="I26" i="31" s="1"/>
  <c r="B25" i="32" s="1"/>
  <c r="D25" i="32" s="1"/>
  <c r="I25" i="32" s="1"/>
  <c r="J24" i="1"/>
  <c r="H24" i="1"/>
  <c r="G24" i="3" s="1"/>
  <c r="H24" i="3" s="1"/>
  <c r="G24" i="4" s="1"/>
  <c r="H24" i="4" s="1"/>
  <c r="G24" i="5" s="1"/>
  <c r="H24" i="5" s="1"/>
  <c r="G25" i="6" s="1"/>
  <c r="H25" i="6" s="1"/>
  <c r="G24" i="7" s="1"/>
  <c r="H24" i="7" s="1"/>
  <c r="G25" i="8" s="1"/>
  <c r="H25" i="8" s="1"/>
  <c r="G25" i="9" s="1"/>
  <c r="H25" i="9" s="1"/>
  <c r="G25" i="10" s="1"/>
  <c r="H25" i="10" s="1"/>
  <c r="G25" i="11" s="1"/>
  <c r="H25" i="11" s="1"/>
  <c r="G25" i="12" s="1"/>
  <c r="H25" i="12" s="1"/>
  <c r="G25" i="13" s="1"/>
  <c r="H25" i="13" s="1"/>
  <c r="G25" i="14" s="1"/>
  <c r="H25" i="14" s="1"/>
  <c r="G25" i="15" s="1"/>
  <c r="H25" i="15" s="1"/>
  <c r="G25" i="16" s="1"/>
  <c r="H25" i="16" s="1"/>
  <c r="G25" i="17" s="1"/>
  <c r="H25" i="17" s="1"/>
  <c r="G25" i="18" s="1"/>
  <c r="H25" i="18" s="1"/>
  <c r="G25" i="19" s="1"/>
  <c r="H25" i="19" s="1"/>
  <c r="G25" i="20" s="1"/>
  <c r="H25" i="20" s="1"/>
  <c r="G25" i="21" s="1"/>
  <c r="H25" i="21" s="1"/>
  <c r="G25" i="22" s="1"/>
  <c r="H25" i="22" s="1"/>
  <c r="G25" i="23" s="1"/>
  <c r="H25" i="23" s="1"/>
  <c r="G25" i="24" s="1"/>
  <c r="H25" i="24" s="1"/>
  <c r="G25" i="25" s="1"/>
  <c r="H25" i="25" s="1"/>
  <c r="G25" i="26" s="1"/>
  <c r="H25" i="26" s="1"/>
  <c r="G25" i="27" s="1"/>
  <c r="H25" i="27" s="1"/>
  <c r="G25" i="28" s="1"/>
  <c r="H25" i="28" s="1"/>
  <c r="G25" i="29" s="1"/>
  <c r="H25" i="29" s="1"/>
  <c r="G25" i="30" s="1"/>
  <c r="H25" i="30" s="1"/>
  <c r="G25" i="31" s="1"/>
  <c r="H25" i="31" s="1"/>
  <c r="G24" i="32" s="1"/>
  <c r="H24" i="32" s="1"/>
  <c r="D24" i="1"/>
  <c r="I24" i="1" s="1"/>
  <c r="B24" i="3" s="1"/>
  <c r="D24" i="3" s="1"/>
  <c r="I24" i="3" s="1"/>
  <c r="B24" i="4" s="1"/>
  <c r="D24" i="4" s="1"/>
  <c r="I24" i="4" s="1"/>
  <c r="B24" i="5" s="1"/>
  <c r="D24" i="5" s="1"/>
  <c r="I24" i="5" s="1"/>
  <c r="B25" i="6" s="1"/>
  <c r="D25" i="6" s="1"/>
  <c r="I25" i="6" s="1"/>
  <c r="B24" i="7" s="1"/>
  <c r="D24" i="7" s="1"/>
  <c r="I24" i="7" s="1"/>
  <c r="B25" i="8" s="1"/>
  <c r="D25" i="8" s="1"/>
  <c r="I25" i="8" s="1"/>
  <c r="B25" i="9" s="1"/>
  <c r="D25" i="9" s="1"/>
  <c r="I25" i="9" s="1"/>
  <c r="B25" i="10" s="1"/>
  <c r="D25" i="10" s="1"/>
  <c r="I25" i="10" s="1"/>
  <c r="B25" i="11" s="1"/>
  <c r="D25" i="11" s="1"/>
  <c r="I25" i="11" s="1"/>
  <c r="B25" i="12" s="1"/>
  <c r="D25" i="12" s="1"/>
  <c r="I25" i="12" s="1"/>
  <c r="B25" i="13" s="1"/>
  <c r="D25" i="13" s="1"/>
  <c r="I25" i="13" s="1"/>
  <c r="B25" i="14" s="1"/>
  <c r="D25" i="14" s="1"/>
  <c r="I25" i="14" s="1"/>
  <c r="B25" i="15" s="1"/>
  <c r="D25" i="15" s="1"/>
  <c r="I25" i="15" s="1"/>
  <c r="B25" i="16" s="1"/>
  <c r="D25" i="16" s="1"/>
  <c r="I25" i="16" s="1"/>
  <c r="B25" i="17" s="1"/>
  <c r="D25" i="17" s="1"/>
  <c r="I25" i="17" s="1"/>
  <c r="B25" i="18" s="1"/>
  <c r="D25" i="18" s="1"/>
  <c r="I25" i="18" s="1"/>
  <c r="B25" i="19" s="1"/>
  <c r="D25" i="19" s="1"/>
  <c r="I25" i="19" s="1"/>
  <c r="B25" i="20" s="1"/>
  <c r="D25" i="20" s="1"/>
  <c r="I25" i="20" s="1"/>
  <c r="B25" i="21" s="1"/>
  <c r="D25" i="21" s="1"/>
  <c r="I25" i="21" s="1"/>
  <c r="B25" i="22" s="1"/>
  <c r="D25" i="22" s="1"/>
  <c r="I25" i="22" s="1"/>
  <c r="B25" i="23" s="1"/>
  <c r="D25" i="23" s="1"/>
  <c r="I25" i="23" s="1"/>
  <c r="B25" i="24" s="1"/>
  <c r="D25" i="24" s="1"/>
  <c r="I25" i="24" s="1"/>
  <c r="B25" i="25" s="1"/>
  <c r="D25" i="25" s="1"/>
  <c r="I25" i="25" s="1"/>
  <c r="B25" i="26" s="1"/>
  <c r="D25" i="26" s="1"/>
  <c r="I25" i="26" s="1"/>
  <c r="B25" i="27" s="1"/>
  <c r="D25" i="27" s="1"/>
  <c r="I25" i="27" s="1"/>
  <c r="B25" i="28" s="1"/>
  <c r="D25" i="28" s="1"/>
  <c r="I25" i="28" s="1"/>
  <c r="B25" i="29" s="1"/>
  <c r="D25" i="29" s="1"/>
  <c r="I25" i="29" s="1"/>
  <c r="B25" i="30" s="1"/>
  <c r="D25" i="30" s="1"/>
  <c r="I25" i="30" s="1"/>
  <c r="B25" i="31" s="1"/>
  <c r="D25" i="31" s="1"/>
  <c r="I25" i="31" s="1"/>
  <c r="B24" i="32" s="1"/>
  <c r="D24" i="32" s="1"/>
  <c r="I24" i="32" s="1"/>
  <c r="J23" i="1"/>
  <c r="H23" i="1"/>
  <c r="G23" i="3" s="1"/>
  <c r="H23" i="3" s="1"/>
  <c r="G23" i="4" s="1"/>
  <c r="H23" i="4" s="1"/>
  <c r="G23" i="5" s="1"/>
  <c r="H23" i="5" s="1"/>
  <c r="G24" i="6" s="1"/>
  <c r="H24" i="6" s="1"/>
  <c r="G23" i="7" s="1"/>
  <c r="H23" i="7" s="1"/>
  <c r="G24" i="8" s="1"/>
  <c r="H24" i="8" s="1"/>
  <c r="G24" i="9" s="1"/>
  <c r="H24" i="9" s="1"/>
  <c r="G24" i="10" s="1"/>
  <c r="H24" i="10" s="1"/>
  <c r="G24" i="11" s="1"/>
  <c r="H24" i="11" s="1"/>
  <c r="G24" i="12" s="1"/>
  <c r="H24" i="12" s="1"/>
  <c r="G24" i="13" s="1"/>
  <c r="H24" i="13" s="1"/>
  <c r="G24" i="14" s="1"/>
  <c r="H24" i="14" s="1"/>
  <c r="G24" i="15" s="1"/>
  <c r="H24" i="15" s="1"/>
  <c r="G24" i="16" s="1"/>
  <c r="H24" i="16" s="1"/>
  <c r="G24" i="17" s="1"/>
  <c r="H24" i="17" s="1"/>
  <c r="G24" i="18" s="1"/>
  <c r="H24" i="18" s="1"/>
  <c r="G24" i="19" s="1"/>
  <c r="H24" i="19" s="1"/>
  <c r="G24" i="20" s="1"/>
  <c r="H24" i="20" s="1"/>
  <c r="G24" i="21" s="1"/>
  <c r="H24" i="21" s="1"/>
  <c r="G24" i="22" s="1"/>
  <c r="H24" i="22" s="1"/>
  <c r="G24" i="23" s="1"/>
  <c r="H24" i="23" s="1"/>
  <c r="G24" i="24" s="1"/>
  <c r="H24" i="24" s="1"/>
  <c r="G24" i="25" s="1"/>
  <c r="H24" i="25" s="1"/>
  <c r="G24" i="26" s="1"/>
  <c r="H24" i="26" s="1"/>
  <c r="G24" i="27" s="1"/>
  <c r="H24" i="27" s="1"/>
  <c r="G24" i="28" s="1"/>
  <c r="H24" i="28" s="1"/>
  <c r="G24" i="29" s="1"/>
  <c r="H24" i="29" s="1"/>
  <c r="G24" i="30" s="1"/>
  <c r="H24" i="30" s="1"/>
  <c r="G24" i="31" s="1"/>
  <c r="H24" i="31" s="1"/>
  <c r="G23" i="32" s="1"/>
  <c r="H23" i="32" s="1"/>
  <c r="D23" i="1"/>
  <c r="I23" i="1" s="1"/>
  <c r="B23" i="3" s="1"/>
  <c r="D23" i="3" s="1"/>
  <c r="I23" i="3" s="1"/>
  <c r="B23" i="4" s="1"/>
  <c r="D23" i="4" s="1"/>
  <c r="I23" i="4" s="1"/>
  <c r="B23" i="5" s="1"/>
  <c r="D23" i="5" s="1"/>
  <c r="I23" i="5" s="1"/>
  <c r="B24" i="6" s="1"/>
  <c r="D24" i="6" s="1"/>
  <c r="I24" i="6" s="1"/>
  <c r="B23" i="7" s="1"/>
  <c r="D23" i="7" s="1"/>
  <c r="I23" i="7" s="1"/>
  <c r="B24" i="8" s="1"/>
  <c r="D24" i="8" s="1"/>
  <c r="I24" i="8" s="1"/>
  <c r="B24" i="9" s="1"/>
  <c r="D24" i="9" s="1"/>
  <c r="I24" i="9" s="1"/>
  <c r="B24" i="10" s="1"/>
  <c r="D24" i="10" s="1"/>
  <c r="I24" i="10" s="1"/>
  <c r="B24" i="11" s="1"/>
  <c r="D24" i="11" s="1"/>
  <c r="I24" i="11" s="1"/>
  <c r="B24" i="12" s="1"/>
  <c r="D24" i="12" s="1"/>
  <c r="I24" i="12" s="1"/>
  <c r="B24" i="13" s="1"/>
  <c r="D24" i="13" s="1"/>
  <c r="I24" i="13" s="1"/>
  <c r="B24" i="14" s="1"/>
  <c r="D24" i="14" s="1"/>
  <c r="I24" i="14" s="1"/>
  <c r="B24" i="15" s="1"/>
  <c r="D24" i="15" s="1"/>
  <c r="I24" i="15" s="1"/>
  <c r="B24" i="16" s="1"/>
  <c r="D24" i="16" s="1"/>
  <c r="I24" i="16" s="1"/>
  <c r="B24" i="17" s="1"/>
  <c r="D24" i="17" s="1"/>
  <c r="I24" i="17" s="1"/>
  <c r="B24" i="18" s="1"/>
  <c r="D24" i="18" s="1"/>
  <c r="I24" i="18" s="1"/>
  <c r="B24" i="19" s="1"/>
  <c r="D24" i="19" s="1"/>
  <c r="I24" i="19" s="1"/>
  <c r="B24" i="20" s="1"/>
  <c r="D24" i="20" s="1"/>
  <c r="I24" i="20" s="1"/>
  <c r="B24" i="21" s="1"/>
  <c r="D24" i="21" s="1"/>
  <c r="I24" i="21" s="1"/>
  <c r="B24" i="22" s="1"/>
  <c r="D24" i="22" s="1"/>
  <c r="I24" i="22" s="1"/>
  <c r="B24" i="23" s="1"/>
  <c r="D24" i="23" s="1"/>
  <c r="I24" i="23" s="1"/>
  <c r="B24" i="24" s="1"/>
  <c r="D24" i="24" s="1"/>
  <c r="I24" i="24" s="1"/>
  <c r="B24" i="25" s="1"/>
  <c r="D24" i="25" s="1"/>
  <c r="I24" i="25" s="1"/>
  <c r="B24" i="26" s="1"/>
  <c r="D24" i="26" s="1"/>
  <c r="I24" i="26" s="1"/>
  <c r="B24" i="27" s="1"/>
  <c r="D24" i="27" s="1"/>
  <c r="I24" i="27" s="1"/>
  <c r="B24" i="28" s="1"/>
  <c r="D24" i="28" s="1"/>
  <c r="I24" i="28" s="1"/>
  <c r="B24" i="29" s="1"/>
  <c r="D24" i="29" s="1"/>
  <c r="I24" i="29" s="1"/>
  <c r="B24" i="30" s="1"/>
  <c r="D24" i="30" s="1"/>
  <c r="I24" i="30" s="1"/>
  <c r="B24" i="31" s="1"/>
  <c r="D24" i="31" s="1"/>
  <c r="I24" i="31" s="1"/>
  <c r="B23" i="32" s="1"/>
  <c r="D23" i="32" s="1"/>
  <c r="I23" i="32" s="1"/>
  <c r="J22" i="1"/>
  <c r="H22" i="1"/>
  <c r="G22" i="3" s="1"/>
  <c r="H22" i="3" s="1"/>
  <c r="G22" i="4" s="1"/>
  <c r="H22" i="4" s="1"/>
  <c r="G22" i="5" s="1"/>
  <c r="H22" i="5" s="1"/>
  <c r="G23" i="6" s="1"/>
  <c r="H23" i="6" s="1"/>
  <c r="G22" i="7" s="1"/>
  <c r="H22" i="7" s="1"/>
  <c r="G23" i="8" s="1"/>
  <c r="H23" i="8" s="1"/>
  <c r="G23" i="9" s="1"/>
  <c r="H23" i="9" s="1"/>
  <c r="G23" i="10" s="1"/>
  <c r="H23" i="10" s="1"/>
  <c r="G23" i="11" s="1"/>
  <c r="H23" i="11" s="1"/>
  <c r="G23" i="12" s="1"/>
  <c r="H23" i="12" s="1"/>
  <c r="G23" i="13" s="1"/>
  <c r="H23" i="13" s="1"/>
  <c r="G23" i="14" s="1"/>
  <c r="H23" i="14" s="1"/>
  <c r="G23" i="15" s="1"/>
  <c r="H23" i="15" s="1"/>
  <c r="G23" i="16" s="1"/>
  <c r="H23" i="16" s="1"/>
  <c r="G23" i="17" s="1"/>
  <c r="H23" i="17" s="1"/>
  <c r="G23" i="18" s="1"/>
  <c r="H23" i="18" s="1"/>
  <c r="G23" i="19" s="1"/>
  <c r="H23" i="19" s="1"/>
  <c r="G23" i="20" s="1"/>
  <c r="H23" i="20" s="1"/>
  <c r="G23" i="21" s="1"/>
  <c r="H23" i="21" s="1"/>
  <c r="G23" i="22" s="1"/>
  <c r="H23" i="22" s="1"/>
  <c r="G23" i="23" s="1"/>
  <c r="H23" i="23" s="1"/>
  <c r="G23" i="24" s="1"/>
  <c r="H23" i="24" s="1"/>
  <c r="G23" i="25" s="1"/>
  <c r="H23" i="25" s="1"/>
  <c r="G23" i="26" s="1"/>
  <c r="H23" i="26" s="1"/>
  <c r="G23" i="27" s="1"/>
  <c r="H23" i="27" s="1"/>
  <c r="G23" i="28" s="1"/>
  <c r="H23" i="28" s="1"/>
  <c r="G23" i="29" s="1"/>
  <c r="H23" i="29" s="1"/>
  <c r="G23" i="30" s="1"/>
  <c r="H23" i="30" s="1"/>
  <c r="G23" i="31" s="1"/>
  <c r="H23" i="31" s="1"/>
  <c r="G22" i="32" s="1"/>
  <c r="H22" i="32" s="1"/>
  <c r="D22" i="1"/>
  <c r="I22" i="1" s="1"/>
  <c r="B22" i="3" s="1"/>
  <c r="D22" i="3" s="1"/>
  <c r="I22" i="3" s="1"/>
  <c r="B22" i="4" s="1"/>
  <c r="D22" i="4" s="1"/>
  <c r="I22" i="4" s="1"/>
  <c r="B22" i="5" s="1"/>
  <c r="D22" i="5" s="1"/>
  <c r="I22" i="5" s="1"/>
  <c r="B23" i="6" s="1"/>
  <c r="D23" i="6" s="1"/>
  <c r="I23" i="6" s="1"/>
  <c r="B22" i="7" s="1"/>
  <c r="D22" i="7" s="1"/>
  <c r="I22" i="7" s="1"/>
  <c r="B23" i="8" s="1"/>
  <c r="D23" i="8" s="1"/>
  <c r="I23" i="8" s="1"/>
  <c r="B23" i="9" s="1"/>
  <c r="D23" i="9" s="1"/>
  <c r="I23" i="9" s="1"/>
  <c r="B23" i="10" s="1"/>
  <c r="D23" i="10" s="1"/>
  <c r="I23" i="10" s="1"/>
  <c r="B23" i="11" s="1"/>
  <c r="D23" i="11" s="1"/>
  <c r="I23" i="11" s="1"/>
  <c r="B23" i="12" s="1"/>
  <c r="D23" i="12" s="1"/>
  <c r="I23" i="12" s="1"/>
  <c r="B23" i="13" s="1"/>
  <c r="D23" i="13" s="1"/>
  <c r="I23" i="13" s="1"/>
  <c r="B23" i="14" s="1"/>
  <c r="D23" i="14" s="1"/>
  <c r="I23" i="14" s="1"/>
  <c r="B23" i="15" s="1"/>
  <c r="D23" i="15" s="1"/>
  <c r="I23" i="15" s="1"/>
  <c r="B23" i="16" s="1"/>
  <c r="D23" i="16" s="1"/>
  <c r="I23" i="16" s="1"/>
  <c r="B23" i="17" s="1"/>
  <c r="D23" i="17" s="1"/>
  <c r="I23" i="17" s="1"/>
  <c r="B23" i="18" s="1"/>
  <c r="D23" i="18" s="1"/>
  <c r="I23" i="18" s="1"/>
  <c r="B23" i="19" s="1"/>
  <c r="D23" i="19" s="1"/>
  <c r="I23" i="19" s="1"/>
  <c r="B23" i="20" s="1"/>
  <c r="D23" i="20" s="1"/>
  <c r="I23" i="20" s="1"/>
  <c r="B23" i="21" s="1"/>
  <c r="D23" i="21" s="1"/>
  <c r="I23" i="21" s="1"/>
  <c r="B23" i="22" s="1"/>
  <c r="D23" i="22" s="1"/>
  <c r="I23" i="22" s="1"/>
  <c r="B23" i="23" s="1"/>
  <c r="D23" i="23" s="1"/>
  <c r="I23" i="23" s="1"/>
  <c r="B23" i="24" s="1"/>
  <c r="D23" i="24" s="1"/>
  <c r="I23" i="24" s="1"/>
  <c r="B23" i="25" s="1"/>
  <c r="D23" i="25" s="1"/>
  <c r="I23" i="25" s="1"/>
  <c r="B23" i="26" s="1"/>
  <c r="D23" i="26" s="1"/>
  <c r="I23" i="26" s="1"/>
  <c r="B23" i="27" s="1"/>
  <c r="D23" i="27" s="1"/>
  <c r="I23" i="27" s="1"/>
  <c r="B23" i="28" s="1"/>
  <c r="D23" i="28" s="1"/>
  <c r="I23" i="28" s="1"/>
  <c r="B23" i="29" s="1"/>
  <c r="D23" i="29" s="1"/>
  <c r="I23" i="29" s="1"/>
  <c r="B23" i="30" s="1"/>
  <c r="D23" i="30" s="1"/>
  <c r="I23" i="30" s="1"/>
  <c r="B23" i="31" s="1"/>
  <c r="D23" i="31" s="1"/>
  <c r="I23" i="31" s="1"/>
  <c r="B22" i="32" s="1"/>
  <c r="D22" i="32" s="1"/>
  <c r="I22" i="32" s="1"/>
  <c r="J21" i="1"/>
  <c r="H21" i="1"/>
  <c r="G21" i="3" s="1"/>
  <c r="H21" i="3" s="1"/>
  <c r="G21" i="4" s="1"/>
  <c r="H21" i="4" s="1"/>
  <c r="G21" i="5" s="1"/>
  <c r="H21" i="5" s="1"/>
  <c r="G22" i="6" s="1"/>
  <c r="H22" i="6" s="1"/>
  <c r="G21" i="7" s="1"/>
  <c r="H21" i="7" s="1"/>
  <c r="G22" i="8" s="1"/>
  <c r="H22" i="8" s="1"/>
  <c r="G22" i="9" s="1"/>
  <c r="H22" i="9" s="1"/>
  <c r="G22" i="10" s="1"/>
  <c r="H22" i="10" s="1"/>
  <c r="G22" i="11" s="1"/>
  <c r="H22" i="11" s="1"/>
  <c r="G22" i="12" s="1"/>
  <c r="H22" i="12" s="1"/>
  <c r="G22" i="13" s="1"/>
  <c r="H22" i="13" s="1"/>
  <c r="G22" i="14" s="1"/>
  <c r="H22" i="14" s="1"/>
  <c r="G22" i="15" s="1"/>
  <c r="H22" i="15" s="1"/>
  <c r="G22" i="16" s="1"/>
  <c r="H22" i="16" s="1"/>
  <c r="G22" i="17" s="1"/>
  <c r="H22" i="17" s="1"/>
  <c r="G22" i="18" s="1"/>
  <c r="H22" i="18" s="1"/>
  <c r="G22" i="19" s="1"/>
  <c r="H22" i="19" s="1"/>
  <c r="G22" i="20" s="1"/>
  <c r="H22" i="20" s="1"/>
  <c r="G22" i="21" s="1"/>
  <c r="H22" i="21" s="1"/>
  <c r="G22" i="22" s="1"/>
  <c r="H22" i="22" s="1"/>
  <c r="G22" i="23" s="1"/>
  <c r="H22" i="23" s="1"/>
  <c r="G22" i="24" s="1"/>
  <c r="H22" i="24" s="1"/>
  <c r="G22" i="25" s="1"/>
  <c r="H22" i="25" s="1"/>
  <c r="G22" i="26" s="1"/>
  <c r="H22" i="26" s="1"/>
  <c r="G22" i="27" s="1"/>
  <c r="H22" i="27" s="1"/>
  <c r="G22" i="28" s="1"/>
  <c r="H22" i="28" s="1"/>
  <c r="G22" i="29" s="1"/>
  <c r="H22" i="29" s="1"/>
  <c r="G22" i="30" s="1"/>
  <c r="H22" i="30" s="1"/>
  <c r="G22" i="31" s="1"/>
  <c r="H22" i="31" s="1"/>
  <c r="G21" i="32" s="1"/>
  <c r="H21" i="32" s="1"/>
  <c r="D21" i="1"/>
  <c r="I21" i="1" s="1"/>
  <c r="B21" i="3" s="1"/>
  <c r="D21" i="3" s="1"/>
  <c r="I21" i="3" s="1"/>
  <c r="B21" i="4" s="1"/>
  <c r="D21" i="4" s="1"/>
  <c r="I21" i="4" s="1"/>
  <c r="B21" i="5" s="1"/>
  <c r="D21" i="5" s="1"/>
  <c r="I21" i="5" s="1"/>
  <c r="B22" i="6" s="1"/>
  <c r="D22" i="6" s="1"/>
  <c r="I22" i="6" s="1"/>
  <c r="B21" i="7" s="1"/>
  <c r="D21" i="7" s="1"/>
  <c r="I21" i="7" s="1"/>
  <c r="B22" i="8" s="1"/>
  <c r="D22" i="8" s="1"/>
  <c r="I22" i="8" s="1"/>
  <c r="B22" i="9" s="1"/>
  <c r="D22" i="9" s="1"/>
  <c r="I22" i="9" s="1"/>
  <c r="B22" i="10" s="1"/>
  <c r="D22" i="10" s="1"/>
  <c r="I22" i="10" s="1"/>
  <c r="B22" i="11" s="1"/>
  <c r="D22" i="11" s="1"/>
  <c r="I22" i="11" s="1"/>
  <c r="B22" i="12" s="1"/>
  <c r="D22" i="12" s="1"/>
  <c r="I22" i="12" s="1"/>
  <c r="B22" i="13" s="1"/>
  <c r="D22" i="13" s="1"/>
  <c r="I22" i="13" s="1"/>
  <c r="B22" i="14" s="1"/>
  <c r="D22" i="14" s="1"/>
  <c r="I22" i="14" s="1"/>
  <c r="B22" i="15" s="1"/>
  <c r="D22" i="15" s="1"/>
  <c r="I22" i="15" s="1"/>
  <c r="B22" i="16" s="1"/>
  <c r="D22" i="16" s="1"/>
  <c r="I22" i="16" s="1"/>
  <c r="B22" i="17" s="1"/>
  <c r="D22" i="17" s="1"/>
  <c r="I22" i="17" s="1"/>
  <c r="B22" i="18" s="1"/>
  <c r="D22" i="18" s="1"/>
  <c r="I22" i="18" s="1"/>
  <c r="B22" i="19" s="1"/>
  <c r="D22" i="19" s="1"/>
  <c r="I22" i="19" s="1"/>
  <c r="B22" i="20" s="1"/>
  <c r="D22" i="20" s="1"/>
  <c r="I22" i="20" s="1"/>
  <c r="B22" i="21" s="1"/>
  <c r="D22" i="21" s="1"/>
  <c r="I22" i="21" s="1"/>
  <c r="B22" i="22" s="1"/>
  <c r="D22" i="22" s="1"/>
  <c r="I22" i="22" s="1"/>
  <c r="B22" i="23" s="1"/>
  <c r="D22" i="23" s="1"/>
  <c r="I22" i="23" s="1"/>
  <c r="B22" i="24" s="1"/>
  <c r="D22" i="24" s="1"/>
  <c r="I22" i="24" s="1"/>
  <c r="B22" i="25" s="1"/>
  <c r="D22" i="25" s="1"/>
  <c r="I22" i="25" s="1"/>
  <c r="B22" i="26" s="1"/>
  <c r="D22" i="26" s="1"/>
  <c r="I22" i="26" s="1"/>
  <c r="B22" i="27" s="1"/>
  <c r="D22" i="27" s="1"/>
  <c r="I22" i="27" s="1"/>
  <c r="B22" i="28" s="1"/>
  <c r="D22" i="28" s="1"/>
  <c r="I22" i="28" s="1"/>
  <c r="B22" i="29" s="1"/>
  <c r="D22" i="29" s="1"/>
  <c r="I22" i="29" s="1"/>
  <c r="B22" i="30" s="1"/>
  <c r="D22" i="30" s="1"/>
  <c r="I22" i="30" s="1"/>
  <c r="B22" i="31" s="1"/>
  <c r="D22" i="31" s="1"/>
  <c r="I22" i="31" s="1"/>
  <c r="B21" i="32" s="1"/>
  <c r="D21" i="32" s="1"/>
  <c r="I21" i="32" s="1"/>
  <c r="J20" i="1"/>
  <c r="H20" i="1"/>
  <c r="G20" i="3" s="1"/>
  <c r="H20" i="3" s="1"/>
  <c r="G20" i="4" s="1"/>
  <c r="H20" i="4" s="1"/>
  <c r="G20" i="5" s="1"/>
  <c r="H20" i="5" s="1"/>
  <c r="G21" i="6" s="1"/>
  <c r="H21" i="6" s="1"/>
  <c r="G20" i="7" s="1"/>
  <c r="H20" i="7" s="1"/>
  <c r="G21" i="8" s="1"/>
  <c r="H21" i="8" s="1"/>
  <c r="G21" i="9" s="1"/>
  <c r="H21" i="9" s="1"/>
  <c r="G21" i="10" s="1"/>
  <c r="H21" i="10" s="1"/>
  <c r="G21" i="11" s="1"/>
  <c r="H21" i="11" s="1"/>
  <c r="G21" i="12" s="1"/>
  <c r="H21" i="12" s="1"/>
  <c r="G21" i="13" s="1"/>
  <c r="H21" i="13" s="1"/>
  <c r="G21" i="14" s="1"/>
  <c r="H21" i="14" s="1"/>
  <c r="G21" i="15" s="1"/>
  <c r="H21" i="15" s="1"/>
  <c r="G21" i="16" s="1"/>
  <c r="H21" i="16" s="1"/>
  <c r="G21" i="17" s="1"/>
  <c r="H21" i="17" s="1"/>
  <c r="G21" i="18" s="1"/>
  <c r="H21" i="18" s="1"/>
  <c r="G21" i="19" s="1"/>
  <c r="H21" i="19" s="1"/>
  <c r="G21" i="20" s="1"/>
  <c r="H21" i="20" s="1"/>
  <c r="G21" i="21" s="1"/>
  <c r="H21" i="21" s="1"/>
  <c r="G21" i="22" s="1"/>
  <c r="H21" i="22" s="1"/>
  <c r="G21" i="23" s="1"/>
  <c r="H21" i="23" s="1"/>
  <c r="G21" i="24" s="1"/>
  <c r="H21" i="24" s="1"/>
  <c r="G21" i="25" s="1"/>
  <c r="H21" i="25" s="1"/>
  <c r="G21" i="26" s="1"/>
  <c r="H21" i="26" s="1"/>
  <c r="G21" i="27" s="1"/>
  <c r="H21" i="27" s="1"/>
  <c r="G21" i="28" s="1"/>
  <c r="H21" i="28" s="1"/>
  <c r="G21" i="29" s="1"/>
  <c r="H21" i="29" s="1"/>
  <c r="G21" i="30" s="1"/>
  <c r="H21" i="30" s="1"/>
  <c r="G21" i="31" s="1"/>
  <c r="H21" i="31" s="1"/>
  <c r="G20" i="32" s="1"/>
  <c r="H20" i="32" s="1"/>
  <c r="D20" i="1"/>
  <c r="I20" i="1" s="1"/>
  <c r="B20" i="3" s="1"/>
  <c r="D20" i="3" s="1"/>
  <c r="I20" i="3" s="1"/>
  <c r="B20" i="4" s="1"/>
  <c r="D20" i="4" s="1"/>
  <c r="I20" i="4" s="1"/>
  <c r="B20" i="5" s="1"/>
  <c r="D20" i="5" s="1"/>
  <c r="I20" i="5" s="1"/>
  <c r="B21" i="6" s="1"/>
  <c r="D21" i="6" s="1"/>
  <c r="I21" i="6" s="1"/>
  <c r="B20" i="7" s="1"/>
  <c r="D20" i="7" s="1"/>
  <c r="I20" i="7" s="1"/>
  <c r="B21" i="8" s="1"/>
  <c r="D21" i="8" s="1"/>
  <c r="I21" i="8" s="1"/>
  <c r="B21" i="9" s="1"/>
  <c r="D21" i="9" s="1"/>
  <c r="I21" i="9" s="1"/>
  <c r="B21" i="10" s="1"/>
  <c r="D21" i="10" s="1"/>
  <c r="I21" i="10" s="1"/>
  <c r="B21" i="11" s="1"/>
  <c r="D21" i="11" s="1"/>
  <c r="I21" i="11" s="1"/>
  <c r="B21" i="12" s="1"/>
  <c r="D21" i="12" s="1"/>
  <c r="I21" i="12" s="1"/>
  <c r="B21" i="13" s="1"/>
  <c r="D21" i="13" s="1"/>
  <c r="I21" i="13" s="1"/>
  <c r="B21" i="14" s="1"/>
  <c r="D21" i="14" s="1"/>
  <c r="I21" i="14" s="1"/>
  <c r="B21" i="15" s="1"/>
  <c r="D21" i="15" s="1"/>
  <c r="I21" i="15" s="1"/>
  <c r="B21" i="16" s="1"/>
  <c r="D21" i="16" s="1"/>
  <c r="I21" i="16" s="1"/>
  <c r="B21" i="17" s="1"/>
  <c r="D21" i="17" s="1"/>
  <c r="I21" i="17" s="1"/>
  <c r="B21" i="18" s="1"/>
  <c r="D21" i="18" s="1"/>
  <c r="I21" i="18" s="1"/>
  <c r="B21" i="19" s="1"/>
  <c r="D21" i="19" s="1"/>
  <c r="I21" i="19" s="1"/>
  <c r="B21" i="20" s="1"/>
  <c r="D21" i="20" s="1"/>
  <c r="I21" i="20" s="1"/>
  <c r="B21" i="21" s="1"/>
  <c r="D21" i="21" s="1"/>
  <c r="I21" i="21" s="1"/>
  <c r="B21" i="22" s="1"/>
  <c r="D21" i="22" s="1"/>
  <c r="I21" i="22" s="1"/>
  <c r="B21" i="23" s="1"/>
  <c r="D21" i="23" s="1"/>
  <c r="I21" i="23" s="1"/>
  <c r="B21" i="24" s="1"/>
  <c r="D21" i="24" s="1"/>
  <c r="I21" i="24" s="1"/>
  <c r="B21" i="25" s="1"/>
  <c r="D21" i="25" s="1"/>
  <c r="I21" i="25" s="1"/>
  <c r="B21" i="26" s="1"/>
  <c r="D21" i="26" s="1"/>
  <c r="I21" i="26" s="1"/>
  <c r="B21" i="27" s="1"/>
  <c r="D21" i="27" s="1"/>
  <c r="I21" i="27" s="1"/>
  <c r="B21" i="28" s="1"/>
  <c r="D21" i="28" s="1"/>
  <c r="I21" i="28" s="1"/>
  <c r="B21" i="29" s="1"/>
  <c r="D21" i="29" s="1"/>
  <c r="I21" i="29" s="1"/>
  <c r="B21" i="30" s="1"/>
  <c r="D21" i="30" s="1"/>
  <c r="I21" i="30" s="1"/>
  <c r="B21" i="31" s="1"/>
  <c r="D21" i="31" s="1"/>
  <c r="I21" i="31" s="1"/>
  <c r="B20" i="32" s="1"/>
  <c r="D20" i="32" s="1"/>
  <c r="I20" i="32" s="1"/>
  <c r="J19" i="1"/>
  <c r="H19" i="1"/>
  <c r="G19" i="3" s="1"/>
  <c r="H19" i="3" s="1"/>
  <c r="G19" i="4" s="1"/>
  <c r="H19" i="4" s="1"/>
  <c r="G19" i="5" s="1"/>
  <c r="H19" i="5" s="1"/>
  <c r="G20" i="6" s="1"/>
  <c r="H20" i="6" s="1"/>
  <c r="G19" i="7" s="1"/>
  <c r="H19" i="7" s="1"/>
  <c r="G20" i="8" s="1"/>
  <c r="H20" i="8" s="1"/>
  <c r="G20" i="9" s="1"/>
  <c r="H20" i="9" s="1"/>
  <c r="G20" i="10" s="1"/>
  <c r="H20" i="10" s="1"/>
  <c r="G20" i="11" s="1"/>
  <c r="H20" i="11" s="1"/>
  <c r="G20" i="12" s="1"/>
  <c r="H20" i="12" s="1"/>
  <c r="G20" i="13" s="1"/>
  <c r="H20" i="13" s="1"/>
  <c r="G20" i="14" s="1"/>
  <c r="H20" i="14" s="1"/>
  <c r="G20" i="15" s="1"/>
  <c r="H20" i="15" s="1"/>
  <c r="G20" i="16" s="1"/>
  <c r="H20" i="16" s="1"/>
  <c r="G20" i="17" s="1"/>
  <c r="H20" i="17" s="1"/>
  <c r="G20" i="18" s="1"/>
  <c r="H20" i="18" s="1"/>
  <c r="G20" i="19" s="1"/>
  <c r="H20" i="19" s="1"/>
  <c r="G20" i="20" s="1"/>
  <c r="H20" i="20" s="1"/>
  <c r="G20" i="21" s="1"/>
  <c r="H20" i="21" s="1"/>
  <c r="G20" i="22" s="1"/>
  <c r="H20" i="22" s="1"/>
  <c r="G20" i="23" s="1"/>
  <c r="H20" i="23" s="1"/>
  <c r="G20" i="24" s="1"/>
  <c r="H20" i="24" s="1"/>
  <c r="G20" i="25" s="1"/>
  <c r="H20" i="25" s="1"/>
  <c r="G20" i="26" s="1"/>
  <c r="H20" i="26" s="1"/>
  <c r="G20" i="27" s="1"/>
  <c r="H20" i="27" s="1"/>
  <c r="G20" i="28" s="1"/>
  <c r="H20" i="28" s="1"/>
  <c r="G20" i="29" s="1"/>
  <c r="H20" i="29" s="1"/>
  <c r="G20" i="30" s="1"/>
  <c r="H20" i="30" s="1"/>
  <c r="G20" i="31" s="1"/>
  <c r="H20" i="31" s="1"/>
  <c r="G19" i="32" s="1"/>
  <c r="H19" i="32" s="1"/>
  <c r="D19" i="1"/>
  <c r="I19" i="1" s="1"/>
  <c r="B19" i="3" s="1"/>
  <c r="D19" i="3" s="1"/>
  <c r="I19" i="3" s="1"/>
  <c r="B19" i="4" s="1"/>
  <c r="D19" i="4" s="1"/>
  <c r="I19" i="4" s="1"/>
  <c r="B19" i="5" s="1"/>
  <c r="D19" i="5" s="1"/>
  <c r="I19" i="5" s="1"/>
  <c r="B20" i="6" s="1"/>
  <c r="D20" i="6" s="1"/>
  <c r="I20" i="6" s="1"/>
  <c r="B19" i="7" s="1"/>
  <c r="D19" i="7" s="1"/>
  <c r="I19" i="7" s="1"/>
  <c r="B20" i="8" s="1"/>
  <c r="D20" i="8" s="1"/>
  <c r="I20" i="8" s="1"/>
  <c r="B20" i="9" s="1"/>
  <c r="D20" i="9" s="1"/>
  <c r="I20" i="9" s="1"/>
  <c r="B20" i="10" s="1"/>
  <c r="D20" i="10" s="1"/>
  <c r="I20" i="10" s="1"/>
  <c r="B20" i="11" s="1"/>
  <c r="D20" i="11" s="1"/>
  <c r="I20" i="11" s="1"/>
  <c r="B20" i="12" s="1"/>
  <c r="D20" i="12" s="1"/>
  <c r="I20" i="12" s="1"/>
  <c r="B20" i="13" s="1"/>
  <c r="D20" i="13" s="1"/>
  <c r="I20" i="13" s="1"/>
  <c r="B20" i="14" s="1"/>
  <c r="D20" i="14" s="1"/>
  <c r="I20" i="14" s="1"/>
  <c r="B20" i="15" s="1"/>
  <c r="D20" i="15" s="1"/>
  <c r="I20" i="15" s="1"/>
  <c r="B20" i="16" s="1"/>
  <c r="D20" i="16" s="1"/>
  <c r="I20" i="16" s="1"/>
  <c r="B20" i="17" s="1"/>
  <c r="D20" i="17" s="1"/>
  <c r="I20" i="17" s="1"/>
  <c r="B20" i="18" s="1"/>
  <c r="D20" i="18" s="1"/>
  <c r="I20" i="18" s="1"/>
  <c r="B20" i="19" s="1"/>
  <c r="D20" i="19" s="1"/>
  <c r="I20" i="19" s="1"/>
  <c r="B20" i="20" s="1"/>
  <c r="D20" i="20" s="1"/>
  <c r="I20" i="20" s="1"/>
  <c r="B20" i="21" s="1"/>
  <c r="D20" i="21" s="1"/>
  <c r="I20" i="21" s="1"/>
  <c r="B20" i="22" s="1"/>
  <c r="D20" i="22" s="1"/>
  <c r="I20" i="22" s="1"/>
  <c r="B20" i="23" s="1"/>
  <c r="D20" i="23" s="1"/>
  <c r="I20" i="23" s="1"/>
  <c r="B20" i="24" s="1"/>
  <c r="D20" i="24" s="1"/>
  <c r="I20" i="24" s="1"/>
  <c r="B20" i="25" s="1"/>
  <c r="D20" i="25" s="1"/>
  <c r="I20" i="25" s="1"/>
  <c r="B20" i="26" s="1"/>
  <c r="D20" i="26" s="1"/>
  <c r="I20" i="26" s="1"/>
  <c r="B20" i="27" s="1"/>
  <c r="D20" i="27" s="1"/>
  <c r="I20" i="27" s="1"/>
  <c r="B20" i="28" s="1"/>
  <c r="D20" i="28" s="1"/>
  <c r="I20" i="28" s="1"/>
  <c r="B20" i="29" s="1"/>
  <c r="D20" i="29" s="1"/>
  <c r="I20" i="29" s="1"/>
  <c r="B20" i="30" s="1"/>
  <c r="D20" i="30" s="1"/>
  <c r="I20" i="30" s="1"/>
  <c r="B20" i="31" s="1"/>
  <c r="D20" i="31" s="1"/>
  <c r="I20" i="31" s="1"/>
  <c r="B19" i="32" s="1"/>
  <c r="D19" i="32" s="1"/>
  <c r="I19" i="32" s="1"/>
  <c r="J18" i="1"/>
  <c r="H18" i="1"/>
  <c r="G18" i="3" s="1"/>
  <c r="H18" i="3" s="1"/>
  <c r="G18" i="4" s="1"/>
  <c r="H18" i="4" s="1"/>
  <c r="G18" i="5" s="1"/>
  <c r="H18" i="5" s="1"/>
  <c r="G19" i="6" s="1"/>
  <c r="H19" i="6" s="1"/>
  <c r="G18" i="7" s="1"/>
  <c r="H18" i="7" s="1"/>
  <c r="G19" i="8" s="1"/>
  <c r="H19" i="8" s="1"/>
  <c r="G19" i="9" s="1"/>
  <c r="H19" i="9" s="1"/>
  <c r="G19" i="10" s="1"/>
  <c r="H19" i="10" s="1"/>
  <c r="G19" i="11" s="1"/>
  <c r="H19" i="11" s="1"/>
  <c r="G19" i="12" s="1"/>
  <c r="H19" i="12" s="1"/>
  <c r="G19" i="13" s="1"/>
  <c r="H19" i="13" s="1"/>
  <c r="G19" i="14" s="1"/>
  <c r="H19" i="14" s="1"/>
  <c r="G19" i="15" s="1"/>
  <c r="H19" i="15" s="1"/>
  <c r="G19" i="16" s="1"/>
  <c r="H19" i="16" s="1"/>
  <c r="G19" i="17" s="1"/>
  <c r="H19" i="17" s="1"/>
  <c r="G19" i="18" s="1"/>
  <c r="H19" i="18" s="1"/>
  <c r="G19" i="19" s="1"/>
  <c r="H19" i="19" s="1"/>
  <c r="G19" i="20" s="1"/>
  <c r="H19" i="20" s="1"/>
  <c r="G19" i="21" s="1"/>
  <c r="H19" i="21" s="1"/>
  <c r="G19" i="22" s="1"/>
  <c r="H19" i="22" s="1"/>
  <c r="G19" i="23" s="1"/>
  <c r="H19" i="23" s="1"/>
  <c r="G19" i="24" s="1"/>
  <c r="H19" i="24" s="1"/>
  <c r="G19" i="25" s="1"/>
  <c r="H19" i="25" s="1"/>
  <c r="G19" i="26" s="1"/>
  <c r="H19" i="26" s="1"/>
  <c r="G19" i="27" s="1"/>
  <c r="H19" i="27" s="1"/>
  <c r="G19" i="28" s="1"/>
  <c r="H19" i="28" s="1"/>
  <c r="G19" i="29" s="1"/>
  <c r="H19" i="29" s="1"/>
  <c r="G19" i="30" s="1"/>
  <c r="H19" i="30" s="1"/>
  <c r="G19" i="31" s="1"/>
  <c r="H19" i="31" s="1"/>
  <c r="G18" i="32" s="1"/>
  <c r="H18" i="32" s="1"/>
  <c r="D18" i="1"/>
  <c r="I18" i="1" s="1"/>
  <c r="B18" i="3" s="1"/>
  <c r="D18" i="3" s="1"/>
  <c r="I18" i="3" s="1"/>
  <c r="B18" i="4" s="1"/>
  <c r="D18" i="4" s="1"/>
  <c r="I18" i="4" s="1"/>
  <c r="B18" i="5" s="1"/>
  <c r="D18" i="5" s="1"/>
  <c r="I18" i="5" s="1"/>
  <c r="B19" i="6" s="1"/>
  <c r="D19" i="6" s="1"/>
  <c r="I19" i="6" s="1"/>
  <c r="B18" i="7" s="1"/>
  <c r="D18" i="7" s="1"/>
  <c r="I18" i="7" s="1"/>
  <c r="B19" i="8" s="1"/>
  <c r="D19" i="8" s="1"/>
  <c r="I19" i="8" s="1"/>
  <c r="B19" i="9" s="1"/>
  <c r="D19" i="9" s="1"/>
  <c r="I19" i="9" s="1"/>
  <c r="B19" i="10" s="1"/>
  <c r="D19" i="10" s="1"/>
  <c r="I19" i="10" s="1"/>
  <c r="B19" i="11" s="1"/>
  <c r="D19" i="11" s="1"/>
  <c r="I19" i="11" s="1"/>
  <c r="B19" i="12" s="1"/>
  <c r="D19" i="12" s="1"/>
  <c r="I19" i="12" s="1"/>
  <c r="B19" i="13" s="1"/>
  <c r="D19" i="13" s="1"/>
  <c r="I19" i="13" s="1"/>
  <c r="B19" i="14" s="1"/>
  <c r="D19" i="14" s="1"/>
  <c r="I19" i="14" s="1"/>
  <c r="B19" i="15" s="1"/>
  <c r="D19" i="15" s="1"/>
  <c r="I19" i="15" s="1"/>
  <c r="B19" i="16" s="1"/>
  <c r="D19" i="16" s="1"/>
  <c r="I19" i="16" s="1"/>
  <c r="B19" i="17" s="1"/>
  <c r="D19" i="17" s="1"/>
  <c r="I19" i="17" s="1"/>
  <c r="B19" i="18" s="1"/>
  <c r="D19" i="18" s="1"/>
  <c r="I19" i="18" s="1"/>
  <c r="B19" i="19" s="1"/>
  <c r="D19" i="19" s="1"/>
  <c r="I19" i="19" s="1"/>
  <c r="B19" i="20" s="1"/>
  <c r="D19" i="20" s="1"/>
  <c r="I19" i="20" s="1"/>
  <c r="B19" i="21" s="1"/>
  <c r="D19" i="21" s="1"/>
  <c r="I19" i="21" s="1"/>
  <c r="B19" i="22" s="1"/>
  <c r="D19" i="22" s="1"/>
  <c r="I19" i="22" s="1"/>
  <c r="B19" i="23" s="1"/>
  <c r="D19" i="23" s="1"/>
  <c r="I19" i="23" s="1"/>
  <c r="B19" i="24" s="1"/>
  <c r="D19" i="24" s="1"/>
  <c r="I19" i="24" s="1"/>
  <c r="B19" i="25" s="1"/>
  <c r="D19" i="25" s="1"/>
  <c r="I19" i="25" s="1"/>
  <c r="B19" i="26" s="1"/>
  <c r="D19" i="26" s="1"/>
  <c r="I19" i="26" s="1"/>
  <c r="B19" i="27" s="1"/>
  <c r="D19" i="27" s="1"/>
  <c r="I19" i="27" s="1"/>
  <c r="B19" i="28" s="1"/>
  <c r="D19" i="28" s="1"/>
  <c r="I19" i="28" s="1"/>
  <c r="B19" i="29" s="1"/>
  <c r="D19" i="29" s="1"/>
  <c r="I19" i="29" s="1"/>
  <c r="B19" i="30" s="1"/>
  <c r="D19" i="30" s="1"/>
  <c r="I19" i="30" s="1"/>
  <c r="B19" i="31" s="1"/>
  <c r="D19" i="31" s="1"/>
  <c r="I19" i="31" s="1"/>
  <c r="B18" i="32" s="1"/>
  <c r="D18" i="32" s="1"/>
  <c r="I18" i="32" s="1"/>
  <c r="J17" i="1"/>
  <c r="H17" i="1"/>
  <c r="G17" i="3" s="1"/>
  <c r="H17" i="3" s="1"/>
  <c r="G17" i="4" s="1"/>
  <c r="H17" i="4" s="1"/>
  <c r="G17" i="5" s="1"/>
  <c r="H17" i="5" s="1"/>
  <c r="G18" i="6" s="1"/>
  <c r="H18" i="6" s="1"/>
  <c r="G17" i="7" s="1"/>
  <c r="H17" i="7" s="1"/>
  <c r="G18" i="8" s="1"/>
  <c r="H18" i="8" s="1"/>
  <c r="G18" i="9" s="1"/>
  <c r="H18" i="9" s="1"/>
  <c r="G18" i="10" s="1"/>
  <c r="H18" i="10" s="1"/>
  <c r="G18" i="11" s="1"/>
  <c r="H18" i="11" s="1"/>
  <c r="G18" i="12" s="1"/>
  <c r="H18" i="12" s="1"/>
  <c r="G18" i="13" s="1"/>
  <c r="H18" i="13" s="1"/>
  <c r="G18" i="14" s="1"/>
  <c r="H18" i="14" s="1"/>
  <c r="G18" i="15" s="1"/>
  <c r="H18" i="15" s="1"/>
  <c r="G18" i="16" s="1"/>
  <c r="H18" i="16" s="1"/>
  <c r="G18" i="17" s="1"/>
  <c r="H18" i="17" s="1"/>
  <c r="G18" i="18" s="1"/>
  <c r="H18" i="18" s="1"/>
  <c r="G18" i="19" s="1"/>
  <c r="H18" i="19" s="1"/>
  <c r="G18" i="20" s="1"/>
  <c r="H18" i="20" s="1"/>
  <c r="G18" i="21" s="1"/>
  <c r="H18" i="21" s="1"/>
  <c r="G18" i="22" s="1"/>
  <c r="H18" i="22" s="1"/>
  <c r="G18" i="23" s="1"/>
  <c r="H18" i="23" s="1"/>
  <c r="G18" i="24" s="1"/>
  <c r="H18" i="24" s="1"/>
  <c r="G18" i="25" s="1"/>
  <c r="H18" i="25" s="1"/>
  <c r="G18" i="26" s="1"/>
  <c r="H18" i="26" s="1"/>
  <c r="G18" i="27" s="1"/>
  <c r="H18" i="27" s="1"/>
  <c r="G18" i="28" s="1"/>
  <c r="H18" i="28" s="1"/>
  <c r="G18" i="29" s="1"/>
  <c r="H18" i="29" s="1"/>
  <c r="G18" i="30" s="1"/>
  <c r="H18" i="30" s="1"/>
  <c r="G18" i="31" s="1"/>
  <c r="H18" i="31" s="1"/>
  <c r="G17" i="32" s="1"/>
  <c r="H17" i="32" s="1"/>
  <c r="D17" i="1"/>
  <c r="I17" i="1" s="1"/>
  <c r="B17" i="3" s="1"/>
  <c r="D17" i="3" s="1"/>
  <c r="I17" i="3" s="1"/>
  <c r="B17" i="4" s="1"/>
  <c r="D17" i="4" s="1"/>
  <c r="I17" i="4" s="1"/>
  <c r="B17" i="5" s="1"/>
  <c r="D17" i="5" s="1"/>
  <c r="I17" i="5" s="1"/>
  <c r="B18" i="6" s="1"/>
  <c r="D18" i="6" s="1"/>
  <c r="I18" i="6" s="1"/>
  <c r="B17" i="7" s="1"/>
  <c r="D17" i="7" s="1"/>
  <c r="I17" i="7" s="1"/>
  <c r="B18" i="8" s="1"/>
  <c r="D18" i="8" s="1"/>
  <c r="I18" i="8" s="1"/>
  <c r="B18" i="9" s="1"/>
  <c r="D18" i="9" s="1"/>
  <c r="I18" i="9" s="1"/>
  <c r="B18" i="10" s="1"/>
  <c r="D18" i="10" s="1"/>
  <c r="I18" i="10" s="1"/>
  <c r="B18" i="11" s="1"/>
  <c r="D18" i="11" s="1"/>
  <c r="I18" i="11" s="1"/>
  <c r="B18" i="12" s="1"/>
  <c r="D18" i="12" s="1"/>
  <c r="I18" i="12" s="1"/>
  <c r="B18" i="13" s="1"/>
  <c r="D18" i="13" s="1"/>
  <c r="I18" i="13" s="1"/>
  <c r="B18" i="14" s="1"/>
  <c r="D18" i="14" s="1"/>
  <c r="I18" i="14" s="1"/>
  <c r="B18" i="15" s="1"/>
  <c r="D18" i="15" s="1"/>
  <c r="I18" i="15" s="1"/>
  <c r="B18" i="16" s="1"/>
  <c r="D18" i="16" s="1"/>
  <c r="I18" i="16" s="1"/>
  <c r="B18" i="17" s="1"/>
  <c r="D18" i="17" s="1"/>
  <c r="I18" i="17" s="1"/>
  <c r="B18" i="18" s="1"/>
  <c r="D18" i="18" s="1"/>
  <c r="I18" i="18" s="1"/>
  <c r="B18" i="19" s="1"/>
  <c r="D18" i="19" s="1"/>
  <c r="I18" i="19" s="1"/>
  <c r="B18" i="20" s="1"/>
  <c r="D18" i="20" s="1"/>
  <c r="I18" i="20" s="1"/>
  <c r="B18" i="21" s="1"/>
  <c r="D18" i="21" s="1"/>
  <c r="I18" i="21" s="1"/>
  <c r="B18" i="22" s="1"/>
  <c r="D18" i="22" s="1"/>
  <c r="I18" i="22" s="1"/>
  <c r="B18" i="23" s="1"/>
  <c r="D18" i="23" s="1"/>
  <c r="I18" i="23" s="1"/>
  <c r="B18" i="24" s="1"/>
  <c r="D18" i="24" s="1"/>
  <c r="I18" i="24" s="1"/>
  <c r="B18" i="25" s="1"/>
  <c r="D18" i="25" s="1"/>
  <c r="I18" i="25" s="1"/>
  <c r="B18" i="26" s="1"/>
  <c r="D18" i="26" s="1"/>
  <c r="I18" i="26" s="1"/>
  <c r="B18" i="27" s="1"/>
  <c r="D18" i="27" s="1"/>
  <c r="I18" i="27" s="1"/>
  <c r="B18" i="28" s="1"/>
  <c r="D18" i="28" s="1"/>
  <c r="I18" i="28" s="1"/>
  <c r="B18" i="29" s="1"/>
  <c r="D18" i="29" s="1"/>
  <c r="I18" i="29" s="1"/>
  <c r="B18" i="30" s="1"/>
  <c r="D18" i="30" s="1"/>
  <c r="I18" i="30" s="1"/>
  <c r="B18" i="31" s="1"/>
  <c r="D18" i="31" s="1"/>
  <c r="I18" i="31" s="1"/>
  <c r="B17" i="32" s="1"/>
  <c r="D17" i="32" s="1"/>
  <c r="I17" i="32" s="1"/>
  <c r="J16" i="1"/>
  <c r="H16" i="1"/>
  <c r="G16" i="3" s="1"/>
  <c r="H16" i="3" s="1"/>
  <c r="G16" i="4" s="1"/>
  <c r="H16" i="4" s="1"/>
  <c r="G16" i="5" s="1"/>
  <c r="H16" i="5" s="1"/>
  <c r="G17" i="6" s="1"/>
  <c r="H17" i="6" s="1"/>
  <c r="G16" i="7" s="1"/>
  <c r="H16" i="7" s="1"/>
  <c r="G17" i="8" s="1"/>
  <c r="H17" i="8" s="1"/>
  <c r="G17" i="9" s="1"/>
  <c r="H17" i="9" s="1"/>
  <c r="G17" i="10" s="1"/>
  <c r="H17" i="10" s="1"/>
  <c r="G17" i="11" s="1"/>
  <c r="H17" i="11" s="1"/>
  <c r="G17" i="12" s="1"/>
  <c r="H17" i="12" s="1"/>
  <c r="G17" i="13" s="1"/>
  <c r="H17" i="13" s="1"/>
  <c r="G17" i="14" s="1"/>
  <c r="H17" i="14" s="1"/>
  <c r="G17" i="15" s="1"/>
  <c r="H17" i="15" s="1"/>
  <c r="G17" i="16" s="1"/>
  <c r="H17" i="16" s="1"/>
  <c r="G17" i="17" s="1"/>
  <c r="H17" i="17" s="1"/>
  <c r="G17" i="18" s="1"/>
  <c r="H17" i="18" s="1"/>
  <c r="G17" i="19" s="1"/>
  <c r="H17" i="19" s="1"/>
  <c r="G17" i="20" s="1"/>
  <c r="H17" i="20" s="1"/>
  <c r="G17" i="21" s="1"/>
  <c r="H17" i="21" s="1"/>
  <c r="G17" i="22" s="1"/>
  <c r="H17" i="22" s="1"/>
  <c r="G17" i="23" s="1"/>
  <c r="H17" i="23" s="1"/>
  <c r="G17" i="24" s="1"/>
  <c r="H17" i="24" s="1"/>
  <c r="G17" i="25" s="1"/>
  <c r="H17" i="25" s="1"/>
  <c r="G17" i="26" s="1"/>
  <c r="H17" i="26" s="1"/>
  <c r="G17" i="27" s="1"/>
  <c r="H17" i="27" s="1"/>
  <c r="G17" i="28" s="1"/>
  <c r="H17" i="28" s="1"/>
  <c r="G17" i="29" s="1"/>
  <c r="H17" i="29" s="1"/>
  <c r="G17" i="30" s="1"/>
  <c r="H17" i="30" s="1"/>
  <c r="G17" i="31" s="1"/>
  <c r="H17" i="31" s="1"/>
  <c r="G16" i="32" s="1"/>
  <c r="H16" i="32" s="1"/>
  <c r="D16" i="1"/>
  <c r="I16" i="1" s="1"/>
  <c r="B16" i="3" s="1"/>
  <c r="D16" i="3" s="1"/>
  <c r="I16" i="3" s="1"/>
  <c r="B16" i="4" s="1"/>
  <c r="D16" i="4" s="1"/>
  <c r="I16" i="4" s="1"/>
  <c r="B16" i="5" s="1"/>
  <c r="D16" i="5" s="1"/>
  <c r="I16" i="5" s="1"/>
  <c r="B17" i="6" s="1"/>
  <c r="D17" i="6" s="1"/>
  <c r="I17" i="6" s="1"/>
  <c r="B16" i="7" s="1"/>
  <c r="D16" i="7" s="1"/>
  <c r="I16" i="7" s="1"/>
  <c r="B17" i="8" s="1"/>
  <c r="D17" i="8" s="1"/>
  <c r="I17" i="8" s="1"/>
  <c r="B17" i="9" s="1"/>
  <c r="D17" i="9" s="1"/>
  <c r="I17" i="9" s="1"/>
  <c r="B17" i="10" s="1"/>
  <c r="D17" i="10" s="1"/>
  <c r="I17" i="10" s="1"/>
  <c r="B17" i="11" s="1"/>
  <c r="D17" i="11" s="1"/>
  <c r="I17" i="11" s="1"/>
  <c r="B17" i="12" s="1"/>
  <c r="D17" i="12" s="1"/>
  <c r="I17" i="12" s="1"/>
  <c r="B17" i="13" s="1"/>
  <c r="D17" i="13" s="1"/>
  <c r="I17" i="13" s="1"/>
  <c r="B17" i="14" s="1"/>
  <c r="D17" i="14" s="1"/>
  <c r="I17" i="14" s="1"/>
  <c r="B17" i="15" s="1"/>
  <c r="D17" i="15" s="1"/>
  <c r="I17" i="15" s="1"/>
  <c r="B17" i="16" s="1"/>
  <c r="D17" i="16" s="1"/>
  <c r="I17" i="16" s="1"/>
  <c r="B17" i="17" s="1"/>
  <c r="D17" i="17" s="1"/>
  <c r="I17" i="17" s="1"/>
  <c r="B17" i="18" s="1"/>
  <c r="D17" i="18" s="1"/>
  <c r="I17" i="18" s="1"/>
  <c r="B17" i="19" s="1"/>
  <c r="D17" i="19" s="1"/>
  <c r="I17" i="19" s="1"/>
  <c r="B17" i="20" s="1"/>
  <c r="D17" i="20" s="1"/>
  <c r="I17" i="20" s="1"/>
  <c r="B17" i="21" s="1"/>
  <c r="D17" i="21" s="1"/>
  <c r="I17" i="21" s="1"/>
  <c r="B17" i="22" s="1"/>
  <c r="D17" i="22" s="1"/>
  <c r="I17" i="22" s="1"/>
  <c r="B17" i="23" s="1"/>
  <c r="D17" i="23" s="1"/>
  <c r="I17" i="23" s="1"/>
  <c r="B17" i="24" s="1"/>
  <c r="D17" i="24" s="1"/>
  <c r="I17" i="24" s="1"/>
  <c r="B17" i="25" s="1"/>
  <c r="D17" i="25" s="1"/>
  <c r="I17" i="25" s="1"/>
  <c r="B17" i="26" s="1"/>
  <c r="D17" i="26" s="1"/>
  <c r="I17" i="26" s="1"/>
  <c r="B17" i="27" s="1"/>
  <c r="D17" i="27" s="1"/>
  <c r="I17" i="27" s="1"/>
  <c r="B17" i="28" s="1"/>
  <c r="D17" i="28" s="1"/>
  <c r="I17" i="28" s="1"/>
  <c r="B17" i="29" s="1"/>
  <c r="D17" i="29" s="1"/>
  <c r="I17" i="29" s="1"/>
  <c r="B17" i="30" s="1"/>
  <c r="D17" i="30" s="1"/>
  <c r="I17" i="30" s="1"/>
  <c r="B17" i="31" s="1"/>
  <c r="D17" i="31" s="1"/>
  <c r="I17" i="31" s="1"/>
  <c r="B16" i="32" s="1"/>
  <c r="D16" i="32" s="1"/>
  <c r="I16" i="32" s="1"/>
  <c r="J15" i="1"/>
  <c r="H15" i="1"/>
  <c r="G15" i="3" s="1"/>
  <c r="H15" i="3" s="1"/>
  <c r="G15" i="4" s="1"/>
  <c r="H15" i="4" s="1"/>
  <c r="G15" i="5" s="1"/>
  <c r="H15" i="5" s="1"/>
  <c r="G16" i="6" s="1"/>
  <c r="H16" i="6" s="1"/>
  <c r="G15" i="7" s="1"/>
  <c r="H15" i="7" s="1"/>
  <c r="G16" i="8" s="1"/>
  <c r="H16" i="8" s="1"/>
  <c r="G16" i="9" s="1"/>
  <c r="H16" i="9" s="1"/>
  <c r="G16" i="10" s="1"/>
  <c r="H16" i="10" s="1"/>
  <c r="G16" i="11" s="1"/>
  <c r="H16" i="11" s="1"/>
  <c r="G16" i="12" s="1"/>
  <c r="H16" i="12" s="1"/>
  <c r="G16" i="13" s="1"/>
  <c r="H16" i="13" s="1"/>
  <c r="G16" i="14" s="1"/>
  <c r="H16" i="14" s="1"/>
  <c r="G16" i="15" s="1"/>
  <c r="H16" i="15" s="1"/>
  <c r="G16" i="16" s="1"/>
  <c r="H16" i="16" s="1"/>
  <c r="G16" i="17" s="1"/>
  <c r="H16" i="17" s="1"/>
  <c r="G16" i="18" s="1"/>
  <c r="H16" i="18" s="1"/>
  <c r="G16" i="19" s="1"/>
  <c r="H16" i="19" s="1"/>
  <c r="G16" i="20" s="1"/>
  <c r="H16" i="20" s="1"/>
  <c r="G16" i="21" s="1"/>
  <c r="H16" i="21" s="1"/>
  <c r="G16" i="22" s="1"/>
  <c r="H16" i="22" s="1"/>
  <c r="G16" i="23" s="1"/>
  <c r="H16" i="23" s="1"/>
  <c r="G16" i="24" s="1"/>
  <c r="H16" i="24" s="1"/>
  <c r="G16" i="25" s="1"/>
  <c r="H16" i="25" s="1"/>
  <c r="G16" i="26" s="1"/>
  <c r="H16" i="26" s="1"/>
  <c r="G16" i="27" s="1"/>
  <c r="H16" i="27" s="1"/>
  <c r="G16" i="28" s="1"/>
  <c r="H16" i="28" s="1"/>
  <c r="G16" i="29" s="1"/>
  <c r="H16" i="29" s="1"/>
  <c r="G16" i="30" s="1"/>
  <c r="H16" i="30" s="1"/>
  <c r="G16" i="31" s="1"/>
  <c r="H16" i="31" s="1"/>
  <c r="G15" i="32" s="1"/>
  <c r="H15" i="32" s="1"/>
  <c r="D15" i="1"/>
  <c r="I15" i="1" s="1"/>
  <c r="B15" i="3" s="1"/>
  <c r="D15" i="3" s="1"/>
  <c r="I15" i="3" s="1"/>
  <c r="B15" i="4" s="1"/>
  <c r="D15" i="4" s="1"/>
  <c r="I15" i="4" s="1"/>
  <c r="B15" i="5" s="1"/>
  <c r="D15" i="5" s="1"/>
  <c r="I15" i="5" s="1"/>
  <c r="B16" i="6" s="1"/>
  <c r="D16" i="6" s="1"/>
  <c r="I16" i="6" s="1"/>
  <c r="B15" i="7" s="1"/>
  <c r="D15" i="7" s="1"/>
  <c r="I15" i="7" s="1"/>
  <c r="B16" i="8" s="1"/>
  <c r="D16" i="8" s="1"/>
  <c r="I16" i="8" s="1"/>
  <c r="B16" i="9" s="1"/>
  <c r="D16" i="9" s="1"/>
  <c r="I16" i="9" s="1"/>
  <c r="B16" i="10" s="1"/>
  <c r="D16" i="10" s="1"/>
  <c r="I16" i="10" s="1"/>
  <c r="B16" i="11" s="1"/>
  <c r="D16" i="11" s="1"/>
  <c r="I16" i="11" s="1"/>
  <c r="B16" i="12" s="1"/>
  <c r="D16" i="12" s="1"/>
  <c r="I16" i="12" s="1"/>
  <c r="B16" i="13" s="1"/>
  <c r="D16" i="13" s="1"/>
  <c r="I16" i="13" s="1"/>
  <c r="B16" i="14" s="1"/>
  <c r="D16" i="14" s="1"/>
  <c r="I16" i="14" s="1"/>
  <c r="B16" i="15" s="1"/>
  <c r="D16" i="15" s="1"/>
  <c r="I16" i="15" s="1"/>
  <c r="B16" i="16" s="1"/>
  <c r="D16" i="16" s="1"/>
  <c r="I16" i="16" s="1"/>
  <c r="B16" i="17" s="1"/>
  <c r="D16" i="17" s="1"/>
  <c r="I16" i="17" s="1"/>
  <c r="B16" i="18" s="1"/>
  <c r="D16" i="18" s="1"/>
  <c r="I16" i="18" s="1"/>
  <c r="B16" i="19" s="1"/>
  <c r="D16" i="19" s="1"/>
  <c r="I16" i="19" s="1"/>
  <c r="B16" i="20" s="1"/>
  <c r="D16" i="20" s="1"/>
  <c r="I16" i="20" s="1"/>
  <c r="B16" i="21" s="1"/>
  <c r="D16" i="21" s="1"/>
  <c r="I16" i="21" s="1"/>
  <c r="B16" i="22" s="1"/>
  <c r="D16" i="22" s="1"/>
  <c r="I16" i="22" s="1"/>
  <c r="B16" i="23" s="1"/>
  <c r="D16" i="23" s="1"/>
  <c r="I16" i="23" s="1"/>
  <c r="B16" i="24" s="1"/>
  <c r="D16" i="24" s="1"/>
  <c r="I16" i="24" s="1"/>
  <c r="B16" i="25" s="1"/>
  <c r="D16" i="25" s="1"/>
  <c r="I16" i="25" s="1"/>
  <c r="B16" i="26" s="1"/>
  <c r="D16" i="26" s="1"/>
  <c r="I16" i="26" s="1"/>
  <c r="B16" i="27" s="1"/>
  <c r="D16" i="27" s="1"/>
  <c r="I16" i="27" s="1"/>
  <c r="B16" i="28" s="1"/>
  <c r="D16" i="28" s="1"/>
  <c r="I16" i="28" s="1"/>
  <c r="B16" i="29" s="1"/>
  <c r="D16" i="29" s="1"/>
  <c r="I16" i="29" s="1"/>
  <c r="B16" i="30" s="1"/>
  <c r="D16" i="30" s="1"/>
  <c r="I16" i="30" s="1"/>
  <c r="B16" i="31" s="1"/>
  <c r="D16" i="31" s="1"/>
  <c r="I16" i="31" s="1"/>
  <c r="B15" i="32" s="1"/>
  <c r="D15" i="32" s="1"/>
  <c r="I15" i="32" s="1"/>
  <c r="J14" i="1"/>
  <c r="H14" i="1"/>
  <c r="G14" i="3" s="1"/>
  <c r="H14" i="3" s="1"/>
  <c r="G14" i="4" s="1"/>
  <c r="H14" i="4" s="1"/>
  <c r="G14" i="5" s="1"/>
  <c r="H14" i="5" s="1"/>
  <c r="G15" i="6" s="1"/>
  <c r="H15" i="6" s="1"/>
  <c r="G14" i="7" s="1"/>
  <c r="H14" i="7" s="1"/>
  <c r="G15" i="8" s="1"/>
  <c r="H15" i="8" s="1"/>
  <c r="G15" i="9" s="1"/>
  <c r="H15" i="9" s="1"/>
  <c r="G15" i="10" s="1"/>
  <c r="H15" i="10" s="1"/>
  <c r="G15" i="11" s="1"/>
  <c r="H15" i="11" s="1"/>
  <c r="G15" i="12" s="1"/>
  <c r="H15" i="12" s="1"/>
  <c r="G15" i="13" s="1"/>
  <c r="H15" i="13" s="1"/>
  <c r="G15" i="14" s="1"/>
  <c r="H15" i="14" s="1"/>
  <c r="G15" i="15" s="1"/>
  <c r="H15" i="15" s="1"/>
  <c r="G15" i="16" s="1"/>
  <c r="H15" i="16" s="1"/>
  <c r="G15" i="17" s="1"/>
  <c r="H15" i="17" s="1"/>
  <c r="G15" i="18" s="1"/>
  <c r="H15" i="18" s="1"/>
  <c r="G15" i="19" s="1"/>
  <c r="H15" i="19" s="1"/>
  <c r="G15" i="20" s="1"/>
  <c r="H15" i="20" s="1"/>
  <c r="G15" i="21" s="1"/>
  <c r="H15" i="21" s="1"/>
  <c r="G15" i="22" s="1"/>
  <c r="H15" i="22" s="1"/>
  <c r="G15" i="23" s="1"/>
  <c r="H15" i="23" s="1"/>
  <c r="G15" i="24" s="1"/>
  <c r="H15" i="24" s="1"/>
  <c r="G15" i="25" s="1"/>
  <c r="H15" i="25" s="1"/>
  <c r="G15" i="26" s="1"/>
  <c r="H15" i="26" s="1"/>
  <c r="G15" i="27" s="1"/>
  <c r="H15" i="27" s="1"/>
  <c r="G15" i="28" s="1"/>
  <c r="H15" i="28" s="1"/>
  <c r="G15" i="29" s="1"/>
  <c r="H15" i="29" s="1"/>
  <c r="G15" i="30" s="1"/>
  <c r="H15" i="30" s="1"/>
  <c r="G15" i="31" s="1"/>
  <c r="H15" i="31" s="1"/>
  <c r="G14" i="32" s="1"/>
  <c r="H14" i="32" s="1"/>
  <c r="D14" i="1"/>
  <c r="I14" i="1" s="1"/>
  <c r="B14" i="3" s="1"/>
  <c r="D14" i="3" s="1"/>
  <c r="I14" i="3" s="1"/>
  <c r="B14" i="4" s="1"/>
  <c r="D14" i="4" s="1"/>
  <c r="I14" i="4" s="1"/>
  <c r="B14" i="5" s="1"/>
  <c r="D14" i="5" s="1"/>
  <c r="I14" i="5" s="1"/>
  <c r="B15" i="6" s="1"/>
  <c r="D15" i="6" s="1"/>
  <c r="I15" i="6" s="1"/>
  <c r="B14" i="7" s="1"/>
  <c r="D14" i="7" s="1"/>
  <c r="I14" i="7" s="1"/>
  <c r="B15" i="8" s="1"/>
  <c r="D15" i="8" s="1"/>
  <c r="I15" i="8" s="1"/>
  <c r="B15" i="9" s="1"/>
  <c r="D15" i="9" s="1"/>
  <c r="I15" i="9" s="1"/>
  <c r="B15" i="10" s="1"/>
  <c r="D15" i="10" s="1"/>
  <c r="I15" i="10" s="1"/>
  <c r="B15" i="11" s="1"/>
  <c r="D15" i="11" s="1"/>
  <c r="I15" i="11" s="1"/>
  <c r="B15" i="12" s="1"/>
  <c r="D15" i="12" s="1"/>
  <c r="I15" i="12" s="1"/>
  <c r="B15" i="13" s="1"/>
  <c r="D15" i="13" s="1"/>
  <c r="I15" i="13" s="1"/>
  <c r="B15" i="14" s="1"/>
  <c r="D15" i="14" s="1"/>
  <c r="I15" i="14" s="1"/>
  <c r="B15" i="15" s="1"/>
  <c r="D15" i="15" s="1"/>
  <c r="I15" i="15" s="1"/>
  <c r="B15" i="16" s="1"/>
  <c r="D15" i="16" s="1"/>
  <c r="I15" i="16" s="1"/>
  <c r="B15" i="17" s="1"/>
  <c r="D15" i="17" s="1"/>
  <c r="I15" i="17" s="1"/>
  <c r="B15" i="18" s="1"/>
  <c r="D15" i="18" s="1"/>
  <c r="I15" i="18" s="1"/>
  <c r="B15" i="19" s="1"/>
  <c r="J13" i="1"/>
  <c r="H13" i="1"/>
  <c r="G13" i="3" s="1"/>
  <c r="H13" i="3" s="1"/>
  <c r="G13" i="4" s="1"/>
  <c r="H13" i="4" s="1"/>
  <c r="G13" i="5" s="1"/>
  <c r="H13" i="5" s="1"/>
  <c r="G14" i="6" s="1"/>
  <c r="H14" i="6" s="1"/>
  <c r="G13" i="7" s="1"/>
  <c r="H13" i="7" s="1"/>
  <c r="G14" i="8" s="1"/>
  <c r="H14" i="8" s="1"/>
  <c r="G14" i="9" s="1"/>
  <c r="H14" i="9" s="1"/>
  <c r="G14" i="10" s="1"/>
  <c r="H14" i="10" s="1"/>
  <c r="G14" i="11" s="1"/>
  <c r="H14" i="11" s="1"/>
  <c r="G14" i="12" s="1"/>
  <c r="H14" i="12" s="1"/>
  <c r="G14" i="13" s="1"/>
  <c r="H14" i="13" s="1"/>
  <c r="G14" i="14" s="1"/>
  <c r="H14" i="14" s="1"/>
  <c r="G14" i="15" s="1"/>
  <c r="H14" i="15" s="1"/>
  <c r="G14" i="16" s="1"/>
  <c r="H14" i="16" s="1"/>
  <c r="G14" i="17" s="1"/>
  <c r="H14" i="17" s="1"/>
  <c r="G14" i="18" s="1"/>
  <c r="H14" i="18" s="1"/>
  <c r="G14" i="19" s="1"/>
  <c r="H14" i="19" s="1"/>
  <c r="G14" i="20" s="1"/>
  <c r="H14" i="20" s="1"/>
  <c r="G14" i="21" s="1"/>
  <c r="H14" i="21" s="1"/>
  <c r="G14" i="22" s="1"/>
  <c r="H14" i="22" s="1"/>
  <c r="G14" i="23" s="1"/>
  <c r="H14" i="23" s="1"/>
  <c r="G14" i="24" s="1"/>
  <c r="H14" i="24" s="1"/>
  <c r="G14" i="25" s="1"/>
  <c r="H14" i="25" s="1"/>
  <c r="G14" i="26" s="1"/>
  <c r="H14" i="26" s="1"/>
  <c r="G14" i="27" s="1"/>
  <c r="H14" i="27" s="1"/>
  <c r="G14" i="28" s="1"/>
  <c r="H14" i="28" s="1"/>
  <c r="G14" i="29" s="1"/>
  <c r="H14" i="29" s="1"/>
  <c r="G14" i="30" s="1"/>
  <c r="H14" i="30" s="1"/>
  <c r="G14" i="31" s="1"/>
  <c r="H14" i="31" s="1"/>
  <c r="G13" i="32" s="1"/>
  <c r="H13" i="32" s="1"/>
  <c r="D13" i="1"/>
  <c r="I13" i="1" s="1"/>
  <c r="B13" i="3" s="1"/>
  <c r="D13" i="3" s="1"/>
  <c r="I13" i="3" s="1"/>
  <c r="B13" i="4" s="1"/>
  <c r="D13" i="4" s="1"/>
  <c r="I13" i="4" s="1"/>
  <c r="B13" i="5" s="1"/>
  <c r="D13" i="5" s="1"/>
  <c r="I13" i="5" s="1"/>
  <c r="B14" i="6" s="1"/>
  <c r="D14" i="6" s="1"/>
  <c r="I14" i="6" s="1"/>
  <c r="B13" i="7" s="1"/>
  <c r="D13" i="7" s="1"/>
  <c r="I13" i="7" s="1"/>
  <c r="B14" i="8" s="1"/>
  <c r="D14" i="8" s="1"/>
  <c r="I14" i="8" s="1"/>
  <c r="B14" i="9" s="1"/>
  <c r="D14" i="9" s="1"/>
  <c r="I14" i="9" s="1"/>
  <c r="B14" i="10" s="1"/>
  <c r="D14" i="10" s="1"/>
  <c r="I14" i="10" s="1"/>
  <c r="B14" i="11" s="1"/>
  <c r="D14" i="11" s="1"/>
  <c r="I14" i="11" s="1"/>
  <c r="B14" i="12" s="1"/>
  <c r="D14" i="12" s="1"/>
  <c r="I14" i="12" s="1"/>
  <c r="B14" i="13" s="1"/>
  <c r="D14" i="13" s="1"/>
  <c r="I14" i="13" s="1"/>
  <c r="B14" i="14" s="1"/>
  <c r="D14" i="14" s="1"/>
  <c r="I14" i="14" s="1"/>
  <c r="B14" i="15" s="1"/>
  <c r="D14" i="15" s="1"/>
  <c r="I14" i="15" s="1"/>
  <c r="B14" i="16" s="1"/>
  <c r="D14" i="16" s="1"/>
  <c r="I14" i="16" s="1"/>
  <c r="B14" i="17" s="1"/>
  <c r="D14" i="17" s="1"/>
  <c r="I14" i="17" s="1"/>
  <c r="B14" i="18" s="1"/>
  <c r="D14" i="18" s="1"/>
  <c r="I14" i="18" s="1"/>
  <c r="B14" i="19" s="1"/>
  <c r="J12" i="1"/>
  <c r="H12" i="1"/>
  <c r="G12" i="3" s="1"/>
  <c r="H12" i="3" s="1"/>
  <c r="G12" i="4" s="1"/>
  <c r="H12" i="4" s="1"/>
  <c r="G12" i="5" s="1"/>
  <c r="H12" i="5" s="1"/>
  <c r="G13" i="6" s="1"/>
  <c r="H13" i="6" s="1"/>
  <c r="G12" i="7" s="1"/>
  <c r="H12" i="7" s="1"/>
  <c r="G13" i="8" s="1"/>
  <c r="H13" i="8" s="1"/>
  <c r="G13" i="9" s="1"/>
  <c r="H13" i="9" s="1"/>
  <c r="G13" i="10" s="1"/>
  <c r="H13" i="10" s="1"/>
  <c r="G13" i="11" s="1"/>
  <c r="H13" i="11" s="1"/>
  <c r="G13" i="12" s="1"/>
  <c r="H13" i="12" s="1"/>
  <c r="G13" i="13" s="1"/>
  <c r="H13" i="13" s="1"/>
  <c r="G13" i="14" s="1"/>
  <c r="H13" i="14" s="1"/>
  <c r="G13" i="15" s="1"/>
  <c r="H13" i="15" s="1"/>
  <c r="G13" i="16" s="1"/>
  <c r="H13" i="16" s="1"/>
  <c r="G13" i="17" s="1"/>
  <c r="H13" i="17" s="1"/>
  <c r="G13" i="18" s="1"/>
  <c r="H13" i="18" s="1"/>
  <c r="G13" i="19" s="1"/>
  <c r="H13" i="19" s="1"/>
  <c r="G13" i="20" s="1"/>
  <c r="H13" i="20" s="1"/>
  <c r="G13" i="21" s="1"/>
  <c r="H13" i="21" s="1"/>
  <c r="G13" i="22" s="1"/>
  <c r="H13" i="22" s="1"/>
  <c r="G13" i="23" s="1"/>
  <c r="H13" i="23" s="1"/>
  <c r="G13" i="24" s="1"/>
  <c r="H13" i="24" s="1"/>
  <c r="G13" i="25" s="1"/>
  <c r="H13" i="25" s="1"/>
  <c r="G13" i="26" s="1"/>
  <c r="H13" i="26" s="1"/>
  <c r="G13" i="27" s="1"/>
  <c r="H13" i="27" s="1"/>
  <c r="G13" i="28" s="1"/>
  <c r="H13" i="28" s="1"/>
  <c r="G13" i="29" s="1"/>
  <c r="H13" i="29" s="1"/>
  <c r="G13" i="30" s="1"/>
  <c r="H13" i="30" s="1"/>
  <c r="G13" i="31" s="1"/>
  <c r="H13" i="31" s="1"/>
  <c r="G12" i="32" s="1"/>
  <c r="H12" i="32" s="1"/>
  <c r="D12" i="1"/>
  <c r="I12" i="1" s="1"/>
  <c r="B12" i="3" s="1"/>
  <c r="D12" i="3" s="1"/>
  <c r="I12" i="3" s="1"/>
  <c r="B12" i="4" s="1"/>
  <c r="D12" i="4" s="1"/>
  <c r="I12" i="4" s="1"/>
  <c r="B12" i="5" s="1"/>
  <c r="D12" i="5" s="1"/>
  <c r="I12" i="5" s="1"/>
  <c r="B13" i="6" s="1"/>
  <c r="D13" i="6" s="1"/>
  <c r="I13" i="6" s="1"/>
  <c r="B12" i="7" s="1"/>
  <c r="D12" i="7" s="1"/>
  <c r="I12" i="7" s="1"/>
  <c r="B13" i="8" s="1"/>
  <c r="D13" i="8" s="1"/>
  <c r="I13" i="8" s="1"/>
  <c r="B13" i="9" s="1"/>
  <c r="D13" i="9" s="1"/>
  <c r="I13" i="9" s="1"/>
  <c r="B13" i="10" s="1"/>
  <c r="D13" i="10" s="1"/>
  <c r="I13" i="10" s="1"/>
  <c r="B13" i="11" s="1"/>
  <c r="D13" i="11" s="1"/>
  <c r="I13" i="11" s="1"/>
  <c r="B13" i="12" s="1"/>
  <c r="D13" i="12" s="1"/>
  <c r="I13" i="12" s="1"/>
  <c r="B13" i="13" s="1"/>
  <c r="D13" i="13" s="1"/>
  <c r="I13" i="13" s="1"/>
  <c r="B13" i="14" s="1"/>
  <c r="D13" i="14" s="1"/>
  <c r="I13" i="14" s="1"/>
  <c r="B13" i="15" s="1"/>
  <c r="D13" i="15" s="1"/>
  <c r="I13" i="15" s="1"/>
  <c r="B13" i="16" s="1"/>
  <c r="D13" i="16" s="1"/>
  <c r="I13" i="16" s="1"/>
  <c r="B13" i="17" s="1"/>
  <c r="D13" i="17" s="1"/>
  <c r="I13" i="17" s="1"/>
  <c r="B13" i="18" s="1"/>
  <c r="D13" i="18" s="1"/>
  <c r="I13" i="18" s="1"/>
  <c r="B13" i="19" s="1"/>
  <c r="D13" i="19" s="1"/>
  <c r="I13" i="19" s="1"/>
  <c r="B13" i="20" s="1"/>
  <c r="D13" i="20" s="1"/>
  <c r="I13" i="20" s="1"/>
  <c r="B13" i="21" s="1"/>
  <c r="D13" i="21" s="1"/>
  <c r="I13" i="21" s="1"/>
  <c r="B13" i="22" s="1"/>
  <c r="D13" i="22" s="1"/>
  <c r="I13" i="22" s="1"/>
  <c r="B13" i="23" s="1"/>
  <c r="D13" i="23" s="1"/>
  <c r="I13" i="23" s="1"/>
  <c r="B13" i="24" s="1"/>
  <c r="D13" i="24" s="1"/>
  <c r="I13" i="24" s="1"/>
  <c r="B13" i="25" s="1"/>
  <c r="D13" i="25" s="1"/>
  <c r="I13" i="25" s="1"/>
  <c r="B13" i="26" s="1"/>
  <c r="D13" i="26" s="1"/>
  <c r="I13" i="26" s="1"/>
  <c r="B13" i="27" s="1"/>
  <c r="D13" i="27" s="1"/>
  <c r="I13" i="27" s="1"/>
  <c r="B13" i="28" s="1"/>
  <c r="D13" i="28" s="1"/>
  <c r="I13" i="28" s="1"/>
  <c r="B13" i="29" s="1"/>
  <c r="D13" i="29" s="1"/>
  <c r="I13" i="29" s="1"/>
  <c r="B13" i="30" s="1"/>
  <c r="D13" i="30" s="1"/>
  <c r="I13" i="30" s="1"/>
  <c r="B13" i="31" s="1"/>
  <c r="D13" i="31" s="1"/>
  <c r="I13" i="31" s="1"/>
  <c r="B12" i="32" s="1"/>
  <c r="D12" i="32" s="1"/>
  <c r="I12" i="32" s="1"/>
  <c r="J11" i="1"/>
  <c r="H11" i="1"/>
  <c r="G11" i="3" s="1"/>
  <c r="H11" i="3" s="1"/>
  <c r="G11" i="4" s="1"/>
  <c r="H11" i="4" s="1"/>
  <c r="G11" i="5" s="1"/>
  <c r="H11" i="5" s="1"/>
  <c r="G12" i="6" s="1"/>
  <c r="H12" i="6" s="1"/>
  <c r="G11" i="7" s="1"/>
  <c r="H11" i="7" s="1"/>
  <c r="G12" i="8" s="1"/>
  <c r="H12" i="8" s="1"/>
  <c r="G12" i="9" s="1"/>
  <c r="H12" i="9" s="1"/>
  <c r="G12" i="10" s="1"/>
  <c r="H12" i="10" s="1"/>
  <c r="G12" i="11" s="1"/>
  <c r="H12" i="11" s="1"/>
  <c r="G12" i="12" s="1"/>
  <c r="H12" i="12" s="1"/>
  <c r="G12" i="13" s="1"/>
  <c r="H12" i="13" s="1"/>
  <c r="G12" i="14" s="1"/>
  <c r="H12" i="14" s="1"/>
  <c r="G12" i="15" s="1"/>
  <c r="H12" i="15" s="1"/>
  <c r="G12" i="16" s="1"/>
  <c r="H12" i="16" s="1"/>
  <c r="G12" i="17" s="1"/>
  <c r="H12" i="17" s="1"/>
  <c r="G12" i="18" s="1"/>
  <c r="H12" i="18" s="1"/>
  <c r="G12" i="19" s="1"/>
  <c r="H12" i="19" s="1"/>
  <c r="G12" i="20" s="1"/>
  <c r="H12" i="20" s="1"/>
  <c r="G12" i="21" s="1"/>
  <c r="H12" i="21" s="1"/>
  <c r="G12" i="22" s="1"/>
  <c r="H12" i="22" s="1"/>
  <c r="G12" i="23" s="1"/>
  <c r="H12" i="23" s="1"/>
  <c r="G12" i="24" s="1"/>
  <c r="H12" i="24" s="1"/>
  <c r="G12" i="25" s="1"/>
  <c r="H12" i="25" s="1"/>
  <c r="G12" i="26" s="1"/>
  <c r="H12" i="26" s="1"/>
  <c r="G12" i="27" s="1"/>
  <c r="H12" i="27" s="1"/>
  <c r="G12" i="28" s="1"/>
  <c r="H12" i="28" s="1"/>
  <c r="G12" i="29" s="1"/>
  <c r="H12" i="29" s="1"/>
  <c r="G12" i="30" s="1"/>
  <c r="H12" i="30" s="1"/>
  <c r="G12" i="31" s="1"/>
  <c r="H12" i="31" s="1"/>
  <c r="G11" i="32" s="1"/>
  <c r="H11" i="32" s="1"/>
  <c r="D11" i="1"/>
  <c r="I11" i="1" s="1"/>
  <c r="B11" i="3" s="1"/>
  <c r="D11" i="3" s="1"/>
  <c r="I11" i="3" s="1"/>
  <c r="B11" i="4" s="1"/>
  <c r="D11" i="4" s="1"/>
  <c r="I11" i="4" s="1"/>
  <c r="B11" i="5" s="1"/>
  <c r="D11" i="5" s="1"/>
  <c r="I11" i="5" s="1"/>
  <c r="B12" i="6" s="1"/>
  <c r="D12" i="6" s="1"/>
  <c r="I12" i="6" s="1"/>
  <c r="B11" i="7" s="1"/>
  <c r="D11" i="7" s="1"/>
  <c r="I11" i="7" s="1"/>
  <c r="B12" i="8" s="1"/>
  <c r="D12" i="8" s="1"/>
  <c r="I12" i="8" s="1"/>
  <c r="B12" i="9" s="1"/>
  <c r="D12" i="9" s="1"/>
  <c r="I12" i="9" s="1"/>
  <c r="B12" i="10" s="1"/>
  <c r="D12" i="10" s="1"/>
  <c r="I12" i="10" s="1"/>
  <c r="B12" i="11" s="1"/>
  <c r="D12" i="11" s="1"/>
  <c r="I12" i="11" s="1"/>
  <c r="B12" i="12" s="1"/>
  <c r="D12" i="12" s="1"/>
  <c r="I12" i="12" s="1"/>
  <c r="B12" i="13" s="1"/>
  <c r="D12" i="13" s="1"/>
  <c r="I12" i="13" s="1"/>
  <c r="B12" i="14" s="1"/>
  <c r="D12" i="14" s="1"/>
  <c r="I12" i="14" s="1"/>
  <c r="B12" i="15" s="1"/>
  <c r="D12" i="15" s="1"/>
  <c r="I12" i="15" s="1"/>
  <c r="B12" i="16" s="1"/>
  <c r="D12" i="16" s="1"/>
  <c r="I12" i="16" s="1"/>
  <c r="B12" i="17" s="1"/>
  <c r="D12" i="17" s="1"/>
  <c r="I12" i="17" s="1"/>
  <c r="B12" i="18" s="1"/>
  <c r="D12" i="18" s="1"/>
  <c r="I12" i="18" s="1"/>
  <c r="B12" i="19" s="1"/>
  <c r="D12" i="19" s="1"/>
  <c r="I12" i="19" s="1"/>
  <c r="B12" i="20" s="1"/>
  <c r="D12" i="20" s="1"/>
  <c r="I12" i="20" s="1"/>
  <c r="B12" i="21" s="1"/>
  <c r="D12" i="21" s="1"/>
  <c r="I12" i="21" s="1"/>
  <c r="B12" i="22" s="1"/>
  <c r="D12" i="22" s="1"/>
  <c r="I12" i="22" s="1"/>
  <c r="B12" i="23" s="1"/>
  <c r="D12" i="23" s="1"/>
  <c r="I12" i="23" s="1"/>
  <c r="B12" i="24" s="1"/>
  <c r="D12" i="24" s="1"/>
  <c r="I12" i="24" s="1"/>
  <c r="B12" i="25" s="1"/>
  <c r="D12" i="25" s="1"/>
  <c r="I12" i="25" s="1"/>
  <c r="B12" i="26" s="1"/>
  <c r="D12" i="26" s="1"/>
  <c r="I12" i="26" s="1"/>
  <c r="B12" i="27" s="1"/>
  <c r="D12" i="27" s="1"/>
  <c r="I12" i="27" s="1"/>
  <c r="B12" i="28" s="1"/>
  <c r="D12" i="28" s="1"/>
  <c r="I12" i="28" s="1"/>
  <c r="B12" i="29" s="1"/>
  <c r="D12" i="29" s="1"/>
  <c r="I12" i="29" s="1"/>
  <c r="B12" i="30" s="1"/>
  <c r="D12" i="30" s="1"/>
  <c r="I12" i="30" s="1"/>
  <c r="B12" i="31" s="1"/>
  <c r="D12" i="31" s="1"/>
  <c r="I12" i="31" s="1"/>
  <c r="B11" i="32" s="1"/>
  <c r="D11" i="32" s="1"/>
  <c r="I11" i="32" s="1"/>
  <c r="G11" i="6"/>
  <c r="H11" i="6" s="1"/>
  <c r="G11" i="9" s="1"/>
  <c r="H11" i="9" s="1"/>
  <c r="G11" i="10" s="1"/>
  <c r="H11" i="10" s="1"/>
  <c r="G11" i="11" s="1"/>
  <c r="H11" i="11" s="1"/>
  <c r="G11" i="12" s="1"/>
  <c r="H11" i="12" s="1"/>
  <c r="G11" i="13" s="1"/>
  <c r="H11" i="13" s="1"/>
  <c r="G11" i="14" s="1"/>
  <c r="H11" i="14" s="1"/>
  <c r="G11" i="15" s="1"/>
  <c r="H11" i="15" s="1"/>
  <c r="G11" i="16" s="1"/>
  <c r="H11" i="16" s="1"/>
  <c r="G11" i="17" s="1"/>
  <c r="H11" i="17" s="1"/>
  <c r="G11" i="18" s="1"/>
  <c r="H11" i="18" s="1"/>
  <c r="G11" i="19" s="1"/>
  <c r="H11" i="19" s="1"/>
  <c r="G11" i="20" s="1"/>
  <c r="H11" i="20" s="1"/>
  <c r="G11" i="21" s="1"/>
  <c r="H11" i="21" s="1"/>
  <c r="G11" i="22" s="1"/>
  <c r="H11" i="22" s="1"/>
  <c r="G11" i="23" s="1"/>
  <c r="H11" i="23" s="1"/>
  <c r="G11" i="24" s="1"/>
  <c r="H11" i="24" s="1"/>
  <c r="G11" i="25" s="1"/>
  <c r="H11" i="25" s="1"/>
  <c r="G11" i="26" s="1"/>
  <c r="H11" i="26" s="1"/>
  <c r="G11" i="27" s="1"/>
  <c r="H11" i="27" s="1"/>
  <c r="G11" i="28" s="1"/>
  <c r="H11" i="28" s="1"/>
  <c r="G11" i="29" s="1"/>
  <c r="H11" i="29" s="1"/>
  <c r="G11" i="30" s="1"/>
  <c r="H11" i="30" s="1"/>
  <c r="H11" i="31" s="1"/>
  <c r="B11" i="6"/>
  <c r="D11" i="6" s="1"/>
  <c r="I11" i="6" s="1"/>
  <c r="D11" i="8" s="1"/>
  <c r="I11" i="8" s="1"/>
  <c r="B11" i="9" s="1"/>
  <c r="D11" i="9" s="1"/>
  <c r="I11" i="9" s="1"/>
  <c r="B11" i="10" s="1"/>
  <c r="D11" i="10" s="1"/>
  <c r="I11" i="10" s="1"/>
  <c r="B11" i="11" s="1"/>
  <c r="D11" i="11" s="1"/>
  <c r="I11" i="11" s="1"/>
  <c r="B11" i="12" s="1"/>
  <c r="D11" i="12" s="1"/>
  <c r="I11" i="12" s="1"/>
  <c r="B11" i="13" s="1"/>
  <c r="D11" i="13" s="1"/>
  <c r="I11" i="13" s="1"/>
  <c r="B11" i="14" s="1"/>
  <c r="D11" i="14" s="1"/>
  <c r="I11" i="14" s="1"/>
  <c r="B11" i="15" s="1"/>
  <c r="D11" i="15" s="1"/>
  <c r="I11" i="15" s="1"/>
  <c r="B11" i="16" s="1"/>
  <c r="D11" i="16" s="1"/>
  <c r="I11" i="16" s="1"/>
  <c r="B11" i="17" s="1"/>
  <c r="D11" i="17" s="1"/>
  <c r="I11" i="17" s="1"/>
  <c r="B11" i="18" s="1"/>
  <c r="D11" i="18" s="1"/>
  <c r="I11" i="18" s="1"/>
  <c r="B11" i="19" s="1"/>
  <c r="D11" i="19" s="1"/>
  <c r="I11" i="19" s="1"/>
  <c r="B11" i="20" s="1"/>
  <c r="D11" i="20" s="1"/>
  <c r="I11" i="20" s="1"/>
  <c r="B11" i="21" s="1"/>
  <c r="D11" i="21" s="1"/>
  <c r="I11" i="21" s="1"/>
  <c r="B11" i="22" s="1"/>
  <c r="D11" i="22" s="1"/>
  <c r="I11" i="22" s="1"/>
  <c r="B11" i="23" s="1"/>
  <c r="D11" i="23" s="1"/>
  <c r="I11" i="23" s="1"/>
  <c r="B11" i="24" s="1"/>
  <c r="D11" i="24" s="1"/>
  <c r="I11" i="24" s="1"/>
  <c r="B11" i="25" s="1"/>
  <c r="D11" i="25" s="1"/>
  <c r="I11" i="25" s="1"/>
  <c r="B11" i="26" s="1"/>
  <c r="D11" i="26" s="1"/>
  <c r="I11" i="26" s="1"/>
  <c r="B11" i="27" s="1"/>
  <c r="D11" i="27" s="1"/>
  <c r="I11" i="27" s="1"/>
  <c r="B11" i="28" s="1"/>
  <c r="D11" i="28" s="1"/>
  <c r="I11" i="28" s="1"/>
  <c r="B11" i="29" s="1"/>
  <c r="D11" i="29" s="1"/>
  <c r="I11" i="29" s="1"/>
  <c r="B11" i="30" s="1"/>
  <c r="D11" i="30" s="1"/>
  <c r="I11" i="30" s="1"/>
  <c r="B11" i="31" s="1"/>
  <c r="D11" i="31" s="1"/>
  <c r="I11" i="31" s="1"/>
  <c r="H10" i="1"/>
  <c r="G10" i="3" s="1"/>
  <c r="H10" i="3" s="1"/>
  <c r="G10" i="4" s="1"/>
  <c r="H10" i="4" s="1"/>
  <c r="G10" i="5" s="1"/>
  <c r="H10" i="5" s="1"/>
  <c r="G10" i="6" s="1"/>
  <c r="H10" i="6" s="1"/>
  <c r="G10" i="7" s="1"/>
  <c r="H10" i="7" s="1"/>
  <c r="G10" i="8" s="1"/>
  <c r="H10" i="8" s="1"/>
  <c r="G10" i="9" s="1"/>
  <c r="H10" i="9" s="1"/>
  <c r="G10" i="10" s="1"/>
  <c r="H10" i="10" s="1"/>
  <c r="G10" i="11" s="1"/>
  <c r="H10" i="11" s="1"/>
  <c r="G10" i="12" s="1"/>
  <c r="H10" i="12" s="1"/>
  <c r="G10" i="13" s="1"/>
  <c r="H10" i="13" s="1"/>
  <c r="G10" i="14" s="1"/>
  <c r="H10" i="14" s="1"/>
  <c r="G10" i="15" s="1"/>
  <c r="H10" i="15" s="1"/>
  <c r="G10" i="16" s="1"/>
  <c r="H10" i="16" s="1"/>
  <c r="G10" i="17" s="1"/>
  <c r="H10" i="17" s="1"/>
  <c r="G10" i="18" s="1"/>
  <c r="H10" i="18" s="1"/>
  <c r="G10" i="19" s="1"/>
  <c r="H10" i="19" s="1"/>
  <c r="G10" i="20" s="1"/>
  <c r="H10" i="20" s="1"/>
  <c r="G10" i="21" s="1"/>
  <c r="H10" i="21" s="1"/>
  <c r="G10" i="22" s="1"/>
  <c r="H10" i="22" s="1"/>
  <c r="G10" i="23" s="1"/>
  <c r="H10" i="23" s="1"/>
  <c r="G10" i="24" s="1"/>
  <c r="H10" i="24" s="1"/>
  <c r="G10" i="25" s="1"/>
  <c r="H10" i="25" s="1"/>
  <c r="G10" i="26" s="1"/>
  <c r="H10" i="26" s="1"/>
  <c r="G10" i="27" s="1"/>
  <c r="H10" i="27" s="1"/>
  <c r="G10" i="28" s="1"/>
  <c r="H10" i="28" s="1"/>
  <c r="G10" i="29" s="1"/>
  <c r="H10" i="29" s="1"/>
  <c r="G10" i="30" s="1"/>
  <c r="H10" i="30" s="1"/>
  <c r="G10" i="31" s="1"/>
  <c r="H10" i="31" s="1"/>
  <c r="G10" i="32" s="1"/>
  <c r="H10" i="32" s="1"/>
  <c r="D10" i="1"/>
  <c r="I10" i="1" s="1"/>
  <c r="B10" i="3" s="1"/>
  <c r="D10" i="3" s="1"/>
  <c r="I10" i="3" s="1"/>
  <c r="B10" i="4" s="1"/>
  <c r="D10" i="4" s="1"/>
  <c r="I10" i="4" s="1"/>
  <c r="B10" i="5" s="1"/>
  <c r="D10" i="5" s="1"/>
  <c r="I10" i="5" s="1"/>
  <c r="B10" i="6" s="1"/>
  <c r="D10" i="6" s="1"/>
  <c r="I10" i="6" s="1"/>
  <c r="B10" i="7" s="1"/>
  <c r="D10" i="7" s="1"/>
  <c r="I10" i="7" s="1"/>
  <c r="B10" i="8" s="1"/>
  <c r="D10" i="8" s="1"/>
  <c r="I10" i="8" s="1"/>
  <c r="B10" i="9" s="1"/>
  <c r="D10" i="9" s="1"/>
  <c r="I10" i="9" s="1"/>
  <c r="B10" i="10" s="1"/>
  <c r="D10" i="10" s="1"/>
  <c r="I10" i="10" s="1"/>
  <c r="B10" i="11" s="1"/>
  <c r="D10" i="11" s="1"/>
  <c r="I10" i="11" s="1"/>
  <c r="B10" i="12" s="1"/>
  <c r="D10" i="12" s="1"/>
  <c r="I10" i="12" s="1"/>
  <c r="B10" i="13" s="1"/>
  <c r="D10" i="13" s="1"/>
  <c r="I10" i="13" s="1"/>
  <c r="B10" i="14" s="1"/>
  <c r="D10" i="14" s="1"/>
  <c r="I10" i="14" s="1"/>
  <c r="B10" i="15" s="1"/>
  <c r="D10" i="15" s="1"/>
  <c r="I10" i="15" s="1"/>
  <c r="B10" i="16" s="1"/>
  <c r="D10" i="16" s="1"/>
  <c r="I10" i="16" s="1"/>
  <c r="B10" i="17" s="1"/>
  <c r="D10" i="17" s="1"/>
  <c r="I10" i="17" s="1"/>
  <c r="B10" i="18" s="1"/>
  <c r="D10" i="18" s="1"/>
  <c r="I10" i="18" s="1"/>
  <c r="B10" i="19" s="1"/>
  <c r="D10" i="19" s="1"/>
  <c r="I10" i="19" s="1"/>
  <c r="B10" i="20" s="1"/>
  <c r="D10" i="20" s="1"/>
  <c r="I10" i="20" s="1"/>
  <c r="B10" i="21" s="1"/>
  <c r="D10" i="21" s="1"/>
  <c r="I10" i="21" s="1"/>
  <c r="B10" i="22" s="1"/>
  <c r="D10" i="22" s="1"/>
  <c r="I10" i="22" s="1"/>
  <c r="B10" i="23" s="1"/>
  <c r="D10" i="23" s="1"/>
  <c r="I10" i="23" s="1"/>
  <c r="B10" i="24" s="1"/>
  <c r="D10" i="24" s="1"/>
  <c r="I10" i="24" s="1"/>
  <c r="B10" i="25" s="1"/>
  <c r="D10" i="25" s="1"/>
  <c r="I10" i="25" s="1"/>
  <c r="B10" i="26" s="1"/>
  <c r="D10" i="26" s="1"/>
  <c r="I10" i="26" s="1"/>
  <c r="B10" i="27" s="1"/>
  <c r="D10" i="27" s="1"/>
  <c r="I10" i="27" s="1"/>
  <c r="B10" i="28" s="1"/>
  <c r="D10" i="28" s="1"/>
  <c r="I10" i="28" s="1"/>
  <c r="B10" i="29" s="1"/>
  <c r="D10" i="29" s="1"/>
  <c r="I10" i="29" s="1"/>
  <c r="B10" i="30" s="1"/>
  <c r="D10" i="30" s="1"/>
  <c r="I10" i="30" s="1"/>
  <c r="B10" i="31" s="1"/>
  <c r="D10" i="31" s="1"/>
  <c r="I10" i="31" s="1"/>
  <c r="B10" i="32" s="1"/>
  <c r="D10" i="32" s="1"/>
  <c r="I10" i="32" s="1"/>
  <c r="H9" i="1"/>
  <c r="G9" i="3" s="1"/>
  <c r="H9" i="3" s="1"/>
  <c r="G9" i="4" s="1"/>
  <c r="H9" i="4" s="1"/>
  <c r="G9" i="5" s="1"/>
  <c r="H9" i="5" s="1"/>
  <c r="G9" i="6" s="1"/>
  <c r="H9" i="6" s="1"/>
  <c r="G9" i="7" s="1"/>
  <c r="H9" i="7" s="1"/>
  <c r="G9" i="8" s="1"/>
  <c r="H9" i="8" s="1"/>
  <c r="G9" i="9" s="1"/>
  <c r="H9" i="9" s="1"/>
  <c r="G9" i="10" s="1"/>
  <c r="H9" i="10" s="1"/>
  <c r="G9" i="11" s="1"/>
  <c r="H9" i="11" s="1"/>
  <c r="G9" i="12" s="1"/>
  <c r="H9" i="12" s="1"/>
  <c r="G9" i="13" s="1"/>
  <c r="H9" i="13" s="1"/>
  <c r="G9" i="14" s="1"/>
  <c r="H9" i="14" s="1"/>
  <c r="G9" i="15" s="1"/>
  <c r="H9" i="15" s="1"/>
  <c r="G9" i="16" s="1"/>
  <c r="H9" i="16" s="1"/>
  <c r="G9" i="17" s="1"/>
  <c r="H9" i="17" s="1"/>
  <c r="G9" i="18" s="1"/>
  <c r="H9" i="18" s="1"/>
  <c r="G9" i="19" s="1"/>
  <c r="H9" i="19" s="1"/>
  <c r="G9" i="20" s="1"/>
  <c r="H9" i="20" s="1"/>
  <c r="G9" i="21" s="1"/>
  <c r="H9" i="21" s="1"/>
  <c r="G9" i="22" s="1"/>
  <c r="H9" i="22" s="1"/>
  <c r="G9" i="23" s="1"/>
  <c r="H9" i="23" s="1"/>
  <c r="G9" i="24" s="1"/>
  <c r="H9" i="24" s="1"/>
  <c r="G9" i="25" s="1"/>
  <c r="H9" i="25" s="1"/>
  <c r="G9" i="26" s="1"/>
  <c r="H9" i="26" s="1"/>
  <c r="G9" i="27" s="1"/>
  <c r="H9" i="27" s="1"/>
  <c r="D9" i="1"/>
  <c r="I9" i="1" s="1"/>
  <c r="B9" i="3" s="1"/>
  <c r="D9" i="3" s="1"/>
  <c r="I9" i="3" s="1"/>
  <c r="B9" i="4" s="1"/>
  <c r="D9" i="4" s="1"/>
  <c r="I9" i="4" s="1"/>
  <c r="B9" i="5" s="1"/>
  <c r="D9" i="5" s="1"/>
  <c r="I9" i="5" s="1"/>
  <c r="B9" i="6" s="1"/>
  <c r="D9" i="6" s="1"/>
  <c r="I9" i="6" s="1"/>
  <c r="B9" i="7" s="1"/>
  <c r="D9" i="7" s="1"/>
  <c r="I9" i="7" s="1"/>
  <c r="B9" i="8" s="1"/>
  <c r="D9" i="8" s="1"/>
  <c r="I9" i="8" s="1"/>
  <c r="B9" i="9" s="1"/>
  <c r="D9" i="9" s="1"/>
  <c r="I9" i="9" s="1"/>
  <c r="B9" i="10" s="1"/>
  <c r="D9" i="10" s="1"/>
  <c r="I9" i="10" s="1"/>
  <c r="B9" i="11" s="1"/>
  <c r="D9" i="11" s="1"/>
  <c r="I9" i="11" s="1"/>
  <c r="B9" i="12" s="1"/>
  <c r="D9" i="12" s="1"/>
  <c r="I9" i="12" s="1"/>
  <c r="B9" i="13" s="1"/>
  <c r="D9" i="13" s="1"/>
  <c r="I9" i="13" s="1"/>
  <c r="B9" i="14" s="1"/>
  <c r="D9" i="14" s="1"/>
  <c r="I9" i="14" s="1"/>
  <c r="B9" i="15" s="1"/>
  <c r="D9" i="15" s="1"/>
  <c r="I9" i="15" s="1"/>
  <c r="B9" i="16" s="1"/>
  <c r="D9" i="16" s="1"/>
  <c r="I9" i="16" s="1"/>
  <c r="B9" i="17" s="1"/>
  <c r="D9" i="17" s="1"/>
  <c r="I9" i="17" s="1"/>
  <c r="B9" i="18" s="1"/>
  <c r="D9" i="18" s="1"/>
  <c r="I9" i="18" s="1"/>
  <c r="B9" i="19" s="1"/>
  <c r="D9" i="19" s="1"/>
  <c r="I9" i="19" s="1"/>
  <c r="B9" i="20" s="1"/>
  <c r="D9" i="20" s="1"/>
  <c r="I9" i="20" s="1"/>
  <c r="B9" i="21" s="1"/>
  <c r="D9" i="21" s="1"/>
  <c r="I9" i="21" s="1"/>
  <c r="B9" i="22" s="1"/>
  <c r="D9" i="22" s="1"/>
  <c r="I9" i="22" s="1"/>
  <c r="B9" i="23" s="1"/>
  <c r="D9" i="23" s="1"/>
  <c r="I9" i="23" s="1"/>
  <c r="B9" i="24" s="1"/>
  <c r="D9" i="24" s="1"/>
  <c r="I9" i="24" s="1"/>
  <c r="B9" i="25" s="1"/>
  <c r="D9" i="25" s="1"/>
  <c r="I9" i="25" s="1"/>
  <c r="B9" i="26" s="1"/>
  <c r="D9" i="26" s="1"/>
  <c r="J8" i="1"/>
  <c r="H8" i="1"/>
  <c r="G8" i="3" s="1"/>
  <c r="H8" i="3" s="1"/>
  <c r="G8" i="4" s="1"/>
  <c r="H8" i="4" s="1"/>
  <c r="G8" i="5" s="1"/>
  <c r="H8" i="5" s="1"/>
  <c r="G8" i="6" s="1"/>
  <c r="H8" i="6" s="1"/>
  <c r="G8" i="7" s="1"/>
  <c r="H8" i="7" s="1"/>
  <c r="G8" i="8" s="1"/>
  <c r="H8" i="8" s="1"/>
  <c r="G8" i="9" s="1"/>
  <c r="H8" i="9" s="1"/>
  <c r="G8" i="10" s="1"/>
  <c r="H8" i="10" s="1"/>
  <c r="G8" i="11" s="1"/>
  <c r="H8" i="11" s="1"/>
  <c r="G8" i="12" s="1"/>
  <c r="H8" i="12" s="1"/>
  <c r="G8" i="13" s="1"/>
  <c r="H8" i="13" s="1"/>
  <c r="G8" i="14" s="1"/>
  <c r="H8" i="14" s="1"/>
  <c r="G8" i="15" s="1"/>
  <c r="H8" i="15" s="1"/>
  <c r="G8" i="16" s="1"/>
  <c r="H8" i="16" s="1"/>
  <c r="G8" i="17" s="1"/>
  <c r="H8" i="17" s="1"/>
  <c r="G8" i="18" s="1"/>
  <c r="H8" i="18" s="1"/>
  <c r="G8" i="19" s="1"/>
  <c r="H8" i="19" s="1"/>
  <c r="G8" i="20" s="1"/>
  <c r="H8" i="20" s="1"/>
  <c r="G8" i="21" s="1"/>
  <c r="H8" i="21" s="1"/>
  <c r="G8" i="22" s="1"/>
  <c r="H8" i="22" s="1"/>
  <c r="G8" i="23" s="1"/>
  <c r="H8" i="23" s="1"/>
  <c r="G8" i="24" s="1"/>
  <c r="H8" i="24" s="1"/>
  <c r="G8" i="25" s="1"/>
  <c r="H8" i="25" s="1"/>
  <c r="G8" i="26" s="1"/>
  <c r="H8" i="26" s="1"/>
  <c r="G8" i="27" s="1"/>
  <c r="H8" i="27" s="1"/>
  <c r="D8" i="1"/>
  <c r="I8" i="1" s="1"/>
  <c r="B8" i="3" s="1"/>
  <c r="D8" i="3" s="1"/>
  <c r="I8" i="3" s="1"/>
  <c r="B8" i="4" s="1"/>
  <c r="D8" i="4" s="1"/>
  <c r="I8" i="4" s="1"/>
  <c r="B8" i="5" s="1"/>
  <c r="D8" i="5" s="1"/>
  <c r="I8" i="5" s="1"/>
  <c r="B8" i="6" s="1"/>
  <c r="D8" i="6" s="1"/>
  <c r="I8" i="6" s="1"/>
  <c r="B8" i="7" s="1"/>
  <c r="D8" i="7" s="1"/>
  <c r="I8" i="7" s="1"/>
  <c r="B8" i="8" s="1"/>
  <c r="D8" i="8" s="1"/>
  <c r="I8" i="8" s="1"/>
  <c r="B8" i="9" s="1"/>
  <c r="D8" i="9" s="1"/>
  <c r="I8" i="9" s="1"/>
  <c r="B8" i="10" s="1"/>
  <c r="D8" i="10" s="1"/>
  <c r="I8" i="10" s="1"/>
  <c r="B8" i="11" s="1"/>
  <c r="D8" i="11" s="1"/>
  <c r="I8" i="11" s="1"/>
  <c r="B8" i="12" s="1"/>
  <c r="D8" i="12" s="1"/>
  <c r="I8" i="12" s="1"/>
  <c r="B8" i="13" s="1"/>
  <c r="D8" i="13" s="1"/>
  <c r="I8" i="13" s="1"/>
  <c r="B8" i="14" s="1"/>
  <c r="D8" i="14" s="1"/>
  <c r="I8" i="14" s="1"/>
  <c r="B8" i="15" s="1"/>
  <c r="D8" i="15" s="1"/>
  <c r="I8" i="15" s="1"/>
  <c r="B8" i="16" s="1"/>
  <c r="D8" i="16" s="1"/>
  <c r="I8" i="16" s="1"/>
  <c r="B8" i="17" s="1"/>
  <c r="D8" i="17" s="1"/>
  <c r="I8" i="17" s="1"/>
  <c r="B8" i="18" s="1"/>
  <c r="D8" i="18" s="1"/>
  <c r="I8" i="18" s="1"/>
  <c r="B8" i="19" s="1"/>
  <c r="D8" i="19" s="1"/>
  <c r="I8" i="19" s="1"/>
  <c r="B8" i="20" s="1"/>
  <c r="D8" i="20" s="1"/>
  <c r="I8" i="20" s="1"/>
  <c r="B8" i="21" s="1"/>
  <c r="D8" i="21" s="1"/>
  <c r="I8" i="21" s="1"/>
  <c r="B8" i="22" s="1"/>
  <c r="D8" i="22" s="1"/>
  <c r="I8" i="22" s="1"/>
  <c r="B8" i="23" s="1"/>
  <c r="D8" i="23" s="1"/>
  <c r="I8" i="23" s="1"/>
  <c r="B8" i="24" s="1"/>
  <c r="D8" i="24" s="1"/>
  <c r="I8" i="24" s="1"/>
  <c r="B8" i="25" s="1"/>
  <c r="D8" i="25" s="1"/>
  <c r="I8" i="25" s="1"/>
  <c r="B8" i="26" s="1"/>
  <c r="D8" i="26" s="1"/>
  <c r="I8" i="26" s="1"/>
  <c r="B8" i="27" s="1"/>
  <c r="D8" i="27" s="1"/>
  <c r="I8" i="27" s="1"/>
  <c r="B8" i="28" s="1"/>
  <c r="D8" i="28" s="1"/>
  <c r="I8" i="28" s="1"/>
  <c r="B8" i="29" s="1"/>
  <c r="D8" i="29" s="1"/>
  <c r="I8" i="29" s="1"/>
  <c r="B8" i="30" s="1"/>
  <c r="D8" i="30" s="1"/>
  <c r="I8" i="30" s="1"/>
  <c r="B8" i="31" s="1"/>
  <c r="D8" i="31" s="1"/>
  <c r="I8" i="31" s="1"/>
  <c r="B8" i="32" s="1"/>
  <c r="D8" i="32" s="1"/>
  <c r="I8" i="32" s="1"/>
  <c r="J7" i="1"/>
  <c r="H7" i="1"/>
  <c r="G7" i="3" s="1"/>
  <c r="H7" i="3" s="1"/>
  <c r="G7" i="4" s="1"/>
  <c r="H7" i="4" s="1"/>
  <c r="G7" i="5" s="1"/>
  <c r="H7" i="5" s="1"/>
  <c r="G7" i="6" s="1"/>
  <c r="H7" i="6" s="1"/>
  <c r="G7" i="7" s="1"/>
  <c r="H7" i="7" s="1"/>
  <c r="G7" i="8" s="1"/>
  <c r="H7" i="8" s="1"/>
  <c r="G7" i="9" s="1"/>
  <c r="H7" i="9" s="1"/>
  <c r="G7" i="10" s="1"/>
  <c r="H7" i="10" s="1"/>
  <c r="D7" i="1"/>
  <c r="I7" i="1" s="1"/>
  <c r="B7" i="3" s="1"/>
  <c r="D7" i="3" s="1"/>
  <c r="I7" i="3" s="1"/>
  <c r="B7" i="4" s="1"/>
  <c r="D7" i="4" s="1"/>
  <c r="I7" i="4" s="1"/>
  <c r="B7" i="5" s="1"/>
  <c r="D7" i="5" s="1"/>
  <c r="I7" i="5" s="1"/>
  <c r="B7" i="6" s="1"/>
  <c r="D7" i="6" s="1"/>
  <c r="I7" i="6" s="1"/>
  <c r="B7" i="7" s="1"/>
  <c r="D7" i="7" s="1"/>
  <c r="I7" i="7" s="1"/>
  <c r="B7" i="8" s="1"/>
  <c r="D7" i="8" s="1"/>
  <c r="I7" i="8" s="1"/>
  <c r="B7" i="9" s="1"/>
  <c r="D7" i="9" s="1"/>
  <c r="I7" i="9" s="1"/>
  <c r="B7" i="10" s="1"/>
  <c r="D7" i="10" s="1"/>
  <c r="I7" i="10" s="1"/>
  <c r="B7" i="11" s="1"/>
  <c r="D7" i="11" s="1"/>
  <c r="I7" i="11" s="1"/>
  <c r="B7" i="12" s="1"/>
  <c r="D7" i="12" s="1"/>
  <c r="I7" i="12" s="1"/>
  <c r="B7" i="13" s="1"/>
  <c r="D7" i="13" s="1"/>
  <c r="I7" i="13" s="1"/>
  <c r="B7" i="14" s="1"/>
  <c r="D7" i="14" s="1"/>
  <c r="I7" i="14" s="1"/>
  <c r="B7" i="15" s="1"/>
  <c r="D7" i="15" s="1"/>
  <c r="I7" i="15" s="1"/>
  <c r="B7" i="16" s="1"/>
  <c r="D7" i="16" s="1"/>
  <c r="I7" i="16" s="1"/>
  <c r="B7" i="17" s="1"/>
  <c r="D7" i="17" s="1"/>
  <c r="I7" i="17" s="1"/>
  <c r="B7" i="18" s="1"/>
  <c r="D7" i="18" s="1"/>
  <c r="I7" i="18" s="1"/>
  <c r="B7" i="19" s="1"/>
  <c r="D7" i="19" s="1"/>
  <c r="I7" i="19" s="1"/>
  <c r="B7" i="20" s="1"/>
  <c r="D7" i="20" s="1"/>
  <c r="I7" i="20" s="1"/>
  <c r="B7" i="21" s="1"/>
  <c r="D7" i="21" s="1"/>
  <c r="I7" i="21" s="1"/>
  <c r="B7" i="22" s="1"/>
  <c r="D7" i="22" s="1"/>
  <c r="I7" i="22" s="1"/>
  <c r="B7" i="23" s="1"/>
  <c r="D7" i="23" s="1"/>
  <c r="I7" i="23" s="1"/>
  <c r="B7" i="24" s="1"/>
  <c r="D7" i="24" s="1"/>
  <c r="I7" i="24" s="1"/>
  <c r="B7" i="25" s="1"/>
  <c r="D7" i="25" s="1"/>
  <c r="I7" i="25" s="1"/>
  <c r="B7" i="26" s="1"/>
  <c r="D7" i="26" s="1"/>
  <c r="I7" i="26" s="1"/>
  <c r="B7" i="27" s="1"/>
  <c r="D7" i="27" s="1"/>
  <c r="I7" i="27" s="1"/>
  <c r="B7" i="28" s="1"/>
  <c r="D7" i="28" s="1"/>
  <c r="I7" i="28" s="1"/>
  <c r="B7" i="29" s="1"/>
  <c r="D7" i="29" s="1"/>
  <c r="I7" i="29" s="1"/>
  <c r="B7" i="30" s="1"/>
  <c r="D7" i="30" s="1"/>
  <c r="I7" i="30" s="1"/>
  <c r="B7" i="31" s="1"/>
  <c r="D7" i="31" s="1"/>
  <c r="I7" i="31" s="1"/>
  <c r="B7" i="32" s="1"/>
  <c r="D7" i="32" s="1"/>
  <c r="I7" i="32" s="1"/>
  <c r="J6" i="1"/>
  <c r="H6" i="1"/>
  <c r="G6" i="3" s="1"/>
  <c r="H6" i="3" s="1"/>
  <c r="G6" i="4" s="1"/>
  <c r="H6" i="4" s="1"/>
  <c r="G6" i="5" s="1"/>
  <c r="H6" i="5" s="1"/>
  <c r="G6" i="6" s="1"/>
  <c r="H6" i="6" s="1"/>
  <c r="G6" i="7" s="1"/>
  <c r="H6" i="7" s="1"/>
  <c r="G6" i="8" s="1"/>
  <c r="H6" i="8" s="1"/>
  <c r="G6" i="9" s="1"/>
  <c r="H6" i="9" s="1"/>
  <c r="G6" i="10" s="1"/>
  <c r="H6" i="10" s="1"/>
  <c r="G6" i="11" s="1"/>
  <c r="H6" i="11" s="1"/>
  <c r="G6" i="12" s="1"/>
  <c r="H6" i="12" s="1"/>
  <c r="G6" i="13" s="1"/>
  <c r="H6" i="13" s="1"/>
  <c r="G6" i="14" s="1"/>
  <c r="H6" i="14" s="1"/>
  <c r="G6" i="15" s="1"/>
  <c r="H6" i="15" s="1"/>
  <c r="G6" i="16" s="1"/>
  <c r="H6" i="16" s="1"/>
  <c r="G6" i="17" s="1"/>
  <c r="H6" i="17" s="1"/>
  <c r="G6" i="18" s="1"/>
  <c r="H6" i="18" s="1"/>
  <c r="G6" i="19" s="1"/>
  <c r="H6" i="19" s="1"/>
  <c r="G6" i="20" s="1"/>
  <c r="H6" i="20" s="1"/>
  <c r="G6" i="21" s="1"/>
  <c r="H6" i="21" s="1"/>
  <c r="G6" i="22" s="1"/>
  <c r="H6" i="22" s="1"/>
  <c r="G6" i="23" s="1"/>
  <c r="H6" i="23" s="1"/>
  <c r="G6" i="24" s="1"/>
  <c r="H6" i="24" s="1"/>
  <c r="G6" i="25" s="1"/>
  <c r="H6" i="25" s="1"/>
  <c r="G6" i="26" s="1"/>
  <c r="H6" i="26" s="1"/>
  <c r="G6" i="27" s="1"/>
  <c r="H6" i="27" s="1"/>
  <c r="G6" i="28" s="1"/>
  <c r="H6" i="28" s="1"/>
  <c r="G6" i="29" s="1"/>
  <c r="H6" i="29" s="1"/>
  <c r="G6" i="30" s="1"/>
  <c r="H6" i="30" s="1"/>
  <c r="G6" i="31" s="1"/>
  <c r="H6" i="31" s="1"/>
  <c r="G6" i="32" s="1"/>
  <c r="H6" i="32" s="1"/>
  <c r="D6" i="1"/>
  <c r="I6" i="1" s="1"/>
  <c r="G4" i="1"/>
  <c r="K6" i="36"/>
  <c r="H7" i="36" s="1"/>
  <c r="K7" i="36" s="1"/>
  <c r="H8" i="36" s="1"/>
  <c r="K8" i="36" s="1"/>
  <c r="H9" i="36" s="1"/>
  <c r="K9" i="36" s="1"/>
  <c r="H10" i="36" s="1"/>
  <c r="K10" i="36" s="1"/>
  <c r="H11" i="36" s="1"/>
  <c r="K11" i="36" s="1"/>
  <c r="H12" i="36" s="1"/>
  <c r="K12" i="36" s="1"/>
  <c r="H13" i="36" s="1"/>
  <c r="K13" i="36" s="1"/>
  <c r="H14" i="36" s="1"/>
  <c r="K14" i="36" s="1"/>
  <c r="H15" i="36" s="1"/>
  <c r="K15" i="36" s="1"/>
  <c r="H16" i="36" s="1"/>
  <c r="K16" i="36" s="1"/>
  <c r="H17" i="36" s="1"/>
  <c r="K17" i="36" s="1"/>
  <c r="H18" i="36" s="1"/>
  <c r="K18" i="36" s="1"/>
  <c r="H19" i="36" s="1"/>
  <c r="K19" i="36" s="1"/>
  <c r="H20" i="36" s="1"/>
  <c r="K20" i="36" s="1"/>
  <c r="H21" i="36" s="1"/>
  <c r="K21" i="36" s="1"/>
  <c r="H22" i="36" s="1"/>
  <c r="K22" i="36" s="1"/>
  <c r="H23" i="36" s="1"/>
  <c r="K23" i="36" s="1"/>
  <c r="H24" i="36" s="1"/>
  <c r="K24" i="36" s="1"/>
  <c r="H25" i="36" s="1"/>
  <c r="K25" i="36" s="1"/>
  <c r="H26" i="36" s="1"/>
  <c r="K26" i="36" s="1"/>
  <c r="H27" i="36" s="1"/>
  <c r="K27" i="36" s="1"/>
  <c r="H28" i="36" s="1"/>
  <c r="K28" i="36" s="1"/>
  <c r="H29" i="36" s="1"/>
  <c r="K29" i="36" s="1"/>
  <c r="H30" i="36" s="1"/>
  <c r="K30" i="36" s="1"/>
  <c r="H31" i="36" s="1"/>
  <c r="K31" i="36" s="1"/>
  <c r="H32" i="36" s="1"/>
  <c r="K32" i="36" s="1"/>
  <c r="H33" i="36" s="1"/>
  <c r="K33" i="36" s="1"/>
  <c r="H34" i="36" s="1"/>
  <c r="K34" i="36" s="1"/>
  <c r="H35" i="36" s="1"/>
  <c r="K35" i="36" s="1"/>
  <c r="H36" i="36" s="1"/>
  <c r="K36" i="36" s="1"/>
  <c r="E6" i="36"/>
  <c r="B7" i="36" s="1"/>
  <c r="E7" i="36" s="1"/>
  <c r="B8" i="36" s="1"/>
  <c r="E8" i="36" s="1"/>
  <c r="B9" i="36" s="1"/>
  <c r="E9" i="36" s="1"/>
  <c r="B10" i="36" s="1"/>
  <c r="E10" i="36" s="1"/>
  <c r="B11" i="36" s="1"/>
  <c r="E11" i="36" s="1"/>
  <c r="B12" i="36" s="1"/>
  <c r="E12" i="36" s="1"/>
  <c r="B13" i="36" s="1"/>
  <c r="E13" i="36" s="1"/>
  <c r="B14" i="36" s="1"/>
  <c r="E14" i="36" s="1"/>
  <c r="B15" i="36" s="1"/>
  <c r="E15" i="36" s="1"/>
  <c r="B16" i="36" s="1"/>
  <c r="E16" i="36" s="1"/>
  <c r="B17" i="36" s="1"/>
  <c r="E17" i="36" s="1"/>
  <c r="B18" i="36" s="1"/>
  <c r="E18" i="36" s="1"/>
  <c r="B19" i="36" s="1"/>
  <c r="E19" i="36" s="1"/>
  <c r="B20" i="36" s="1"/>
  <c r="E20" i="36" s="1"/>
  <c r="B21" i="36" s="1"/>
  <c r="E21" i="36" s="1"/>
  <c r="B22" i="36" s="1"/>
  <c r="E22" i="36" s="1"/>
  <c r="B23" i="36" s="1"/>
  <c r="E23" i="36" s="1"/>
  <c r="B24" i="36" s="1"/>
  <c r="E24" i="36" s="1"/>
  <c r="B25" i="36" s="1"/>
  <c r="E25" i="36" s="1"/>
  <c r="B26" i="36" s="1"/>
  <c r="E26" i="36" s="1"/>
  <c r="B27" i="36" s="1"/>
  <c r="E27" i="36" s="1"/>
  <c r="B28" i="36" s="1"/>
  <c r="E28" i="36" s="1"/>
  <c r="B29" i="36" s="1"/>
  <c r="E29" i="36" s="1"/>
  <c r="B30" i="36" s="1"/>
  <c r="E30" i="36" s="1"/>
  <c r="B31" i="36" s="1"/>
  <c r="E31" i="36" s="1"/>
  <c r="B32" i="36" s="1"/>
  <c r="E32" i="36" s="1"/>
  <c r="B33" i="36" s="1"/>
  <c r="E33" i="36" s="1"/>
  <c r="B34" i="36" s="1"/>
  <c r="E34" i="36" s="1"/>
  <c r="B35" i="36" s="1"/>
  <c r="E35" i="36" s="1"/>
  <c r="B36" i="36" s="1"/>
  <c r="E36" i="36" s="1"/>
  <c r="M389" i="35"/>
  <c r="K389" i="35"/>
  <c r="H388" i="35"/>
  <c r="D388" i="35"/>
  <c r="H387" i="35"/>
  <c r="D387" i="35"/>
  <c r="H386" i="35"/>
  <c r="D386" i="35"/>
  <c r="H385" i="35"/>
  <c r="D385" i="35"/>
  <c r="H384" i="35"/>
  <c r="D384" i="35"/>
  <c r="H383" i="35"/>
  <c r="D383" i="35"/>
  <c r="H382" i="35"/>
  <c r="D382" i="35"/>
  <c r="H381" i="35"/>
  <c r="D381" i="35"/>
  <c r="H380" i="35"/>
  <c r="D380" i="35"/>
  <c r="H379" i="35"/>
  <c r="D379" i="35"/>
  <c r="H378" i="35"/>
  <c r="D378" i="35"/>
  <c r="H377" i="35"/>
  <c r="D377" i="35"/>
  <c r="H376" i="35"/>
  <c r="D376" i="35"/>
  <c r="H375" i="35"/>
  <c r="D375" i="35"/>
  <c r="H374" i="35"/>
  <c r="D374" i="35"/>
  <c r="H373" i="35"/>
  <c r="D373" i="35"/>
  <c r="H372" i="35"/>
  <c r="D372" i="35"/>
  <c r="H371" i="35"/>
  <c r="D371" i="35"/>
  <c r="H370" i="35"/>
  <c r="D370" i="35"/>
  <c r="H369" i="35"/>
  <c r="D369" i="35"/>
  <c r="H368" i="35"/>
  <c r="D368" i="35"/>
  <c r="H367" i="35"/>
  <c r="D367" i="35"/>
  <c r="H366" i="35"/>
  <c r="D366" i="35"/>
  <c r="H365" i="35"/>
  <c r="D365" i="35"/>
  <c r="H364" i="35"/>
  <c r="D364" i="35"/>
  <c r="H363" i="35"/>
  <c r="D363" i="35"/>
  <c r="H362" i="35"/>
  <c r="D362" i="35"/>
  <c r="H361" i="35"/>
  <c r="D361" i="35"/>
  <c r="H360" i="35"/>
  <c r="D360" i="35"/>
  <c r="H359" i="35"/>
  <c r="D359" i="35"/>
  <c r="Q358" i="35"/>
  <c r="H358" i="35"/>
  <c r="D358" i="35"/>
  <c r="C358" i="35"/>
  <c r="M357" i="35"/>
  <c r="K357" i="35"/>
  <c r="H356" i="35"/>
  <c r="D356" i="35"/>
  <c r="H355" i="35"/>
  <c r="D355" i="35"/>
  <c r="H354" i="35"/>
  <c r="D354" i="35"/>
  <c r="H353" i="35"/>
  <c r="D353" i="35"/>
  <c r="H352" i="35"/>
  <c r="D352" i="35"/>
  <c r="H351" i="35"/>
  <c r="D351" i="35"/>
  <c r="H350" i="35"/>
  <c r="D350" i="35"/>
  <c r="H349" i="35"/>
  <c r="D349" i="35"/>
  <c r="H348" i="35"/>
  <c r="D348" i="35"/>
  <c r="H347" i="35"/>
  <c r="D347" i="35"/>
  <c r="H346" i="35"/>
  <c r="D346" i="35"/>
  <c r="H345" i="35"/>
  <c r="D345" i="35"/>
  <c r="H344" i="35"/>
  <c r="D344" i="35"/>
  <c r="H343" i="35"/>
  <c r="D343" i="35"/>
  <c r="H342" i="35"/>
  <c r="D342" i="35"/>
  <c r="H341" i="35"/>
  <c r="D341" i="35"/>
  <c r="H340" i="35"/>
  <c r="D340" i="35"/>
  <c r="H339" i="35"/>
  <c r="D339" i="35"/>
  <c r="H338" i="35"/>
  <c r="D338" i="35"/>
  <c r="H337" i="35"/>
  <c r="D337" i="35"/>
  <c r="H336" i="35"/>
  <c r="D336" i="35"/>
  <c r="H335" i="35"/>
  <c r="D335" i="35"/>
  <c r="H334" i="35"/>
  <c r="D334" i="35"/>
  <c r="H333" i="35"/>
  <c r="D333" i="35"/>
  <c r="H332" i="35"/>
  <c r="D332" i="35"/>
  <c r="H331" i="35"/>
  <c r="D331" i="35"/>
  <c r="H330" i="35"/>
  <c r="D330" i="35"/>
  <c r="H329" i="35"/>
  <c r="D329" i="35"/>
  <c r="H328" i="35"/>
  <c r="D328" i="35"/>
  <c r="H327" i="35"/>
  <c r="D327" i="35"/>
  <c r="Q326" i="35"/>
  <c r="H326" i="35"/>
  <c r="D326" i="35"/>
  <c r="C326" i="35"/>
  <c r="M325" i="35"/>
  <c r="K325" i="35"/>
  <c r="H324" i="35"/>
  <c r="D324" i="35"/>
  <c r="H323" i="35"/>
  <c r="D323" i="35"/>
  <c r="H322" i="35"/>
  <c r="D322" i="35"/>
  <c r="H321" i="35"/>
  <c r="D321" i="35"/>
  <c r="H320" i="35"/>
  <c r="D320" i="35"/>
  <c r="H319" i="35"/>
  <c r="D319" i="35"/>
  <c r="H318" i="35"/>
  <c r="D318" i="35"/>
  <c r="H317" i="35"/>
  <c r="D317" i="35"/>
  <c r="H316" i="35"/>
  <c r="D316" i="35"/>
  <c r="H315" i="35"/>
  <c r="D315" i="35"/>
  <c r="H314" i="35"/>
  <c r="D314" i="35"/>
  <c r="H313" i="35"/>
  <c r="D313" i="35"/>
  <c r="H312" i="35"/>
  <c r="D312" i="35"/>
  <c r="H311" i="35"/>
  <c r="D311" i="35"/>
  <c r="H310" i="35"/>
  <c r="D310" i="35"/>
  <c r="H309" i="35"/>
  <c r="D309" i="35"/>
  <c r="H308" i="35"/>
  <c r="D308" i="35"/>
  <c r="H307" i="35"/>
  <c r="D307" i="35"/>
  <c r="H306" i="35"/>
  <c r="D306" i="35"/>
  <c r="H305" i="35"/>
  <c r="D305" i="35"/>
  <c r="H304" i="35"/>
  <c r="D304" i="35"/>
  <c r="H303" i="35"/>
  <c r="D303" i="35"/>
  <c r="H302" i="35"/>
  <c r="D302" i="35"/>
  <c r="H301" i="35"/>
  <c r="D301" i="35"/>
  <c r="H300" i="35"/>
  <c r="D300" i="35"/>
  <c r="H299" i="35"/>
  <c r="D299" i="35"/>
  <c r="H298" i="35"/>
  <c r="D298" i="35"/>
  <c r="H297" i="35"/>
  <c r="D297" i="35"/>
  <c r="H296" i="35"/>
  <c r="D296" i="35"/>
  <c r="H295" i="35"/>
  <c r="D295" i="35"/>
  <c r="Q294" i="35"/>
  <c r="J295" i="35" s="1"/>
  <c r="Q295" i="35" s="1"/>
  <c r="H294" i="35"/>
  <c r="D294" i="35"/>
  <c r="C294" i="35"/>
  <c r="M293" i="35"/>
  <c r="K293" i="35"/>
  <c r="H292" i="35"/>
  <c r="D292" i="35"/>
  <c r="H291" i="35"/>
  <c r="D291" i="35"/>
  <c r="H290" i="35"/>
  <c r="D290" i="35"/>
  <c r="H289" i="35"/>
  <c r="D289" i="35"/>
  <c r="H288" i="35"/>
  <c r="D288" i="35"/>
  <c r="H287" i="35"/>
  <c r="D287" i="35"/>
  <c r="H286" i="35"/>
  <c r="D286" i="35"/>
  <c r="H285" i="35"/>
  <c r="D285" i="35"/>
  <c r="H284" i="35"/>
  <c r="D284" i="35"/>
  <c r="H283" i="35"/>
  <c r="D283" i="35"/>
  <c r="H282" i="35"/>
  <c r="D282" i="35"/>
  <c r="H281" i="35"/>
  <c r="D281" i="35"/>
  <c r="H280" i="35"/>
  <c r="D280" i="35"/>
  <c r="H279" i="35"/>
  <c r="D279" i="35"/>
  <c r="H278" i="35"/>
  <c r="D278" i="35"/>
  <c r="H277" i="35"/>
  <c r="D277" i="35"/>
  <c r="H276" i="35"/>
  <c r="D276" i="35"/>
  <c r="H275" i="35"/>
  <c r="D275" i="35"/>
  <c r="H274" i="35"/>
  <c r="D274" i="35"/>
  <c r="H273" i="35"/>
  <c r="D273" i="35"/>
  <c r="H272" i="35"/>
  <c r="D272" i="35"/>
  <c r="H271" i="35"/>
  <c r="D271" i="35"/>
  <c r="H270" i="35"/>
  <c r="D270" i="35"/>
  <c r="H269" i="35"/>
  <c r="D269" i="35"/>
  <c r="H268" i="35"/>
  <c r="D268" i="35"/>
  <c r="H267" i="35"/>
  <c r="D267" i="35"/>
  <c r="H266" i="35"/>
  <c r="D266" i="35"/>
  <c r="H265" i="35"/>
  <c r="D265" i="35"/>
  <c r="H264" i="35"/>
  <c r="D264" i="35"/>
  <c r="H263" i="35"/>
  <c r="D263" i="35"/>
  <c r="Q262" i="35"/>
  <c r="J263" i="35" s="1"/>
  <c r="Q263" i="35" s="1"/>
  <c r="H262" i="35"/>
  <c r="D262" i="35"/>
  <c r="C262" i="35"/>
  <c r="M261" i="35"/>
  <c r="K261" i="35"/>
  <c r="H260" i="35"/>
  <c r="D260" i="35"/>
  <c r="H259" i="35"/>
  <c r="D259" i="35"/>
  <c r="H258" i="35"/>
  <c r="D258" i="35"/>
  <c r="H257" i="35"/>
  <c r="D257" i="35"/>
  <c r="H256" i="35"/>
  <c r="D256" i="35"/>
  <c r="H255" i="35"/>
  <c r="D255" i="35"/>
  <c r="H254" i="35"/>
  <c r="D254" i="35"/>
  <c r="H253" i="35"/>
  <c r="D253" i="35"/>
  <c r="H252" i="35"/>
  <c r="D252" i="35"/>
  <c r="H251" i="35"/>
  <c r="D251" i="35"/>
  <c r="H250" i="35"/>
  <c r="D250" i="35"/>
  <c r="H249" i="35"/>
  <c r="D249" i="35"/>
  <c r="H248" i="35"/>
  <c r="D248" i="35"/>
  <c r="H247" i="35"/>
  <c r="D247" i="35"/>
  <c r="H246" i="35"/>
  <c r="D246" i="35"/>
  <c r="H245" i="35"/>
  <c r="D245" i="35"/>
  <c r="H244" i="35"/>
  <c r="D244" i="35"/>
  <c r="H243" i="35"/>
  <c r="D243" i="35"/>
  <c r="H242" i="35"/>
  <c r="D242" i="35"/>
  <c r="H241" i="35"/>
  <c r="D241" i="35"/>
  <c r="H240" i="35"/>
  <c r="D240" i="35"/>
  <c r="H239" i="35"/>
  <c r="D239" i="35"/>
  <c r="H238" i="35"/>
  <c r="D238" i="35"/>
  <c r="H237" i="35"/>
  <c r="D237" i="35"/>
  <c r="H236" i="35"/>
  <c r="D236" i="35"/>
  <c r="H235" i="35"/>
  <c r="D235" i="35"/>
  <c r="H234" i="35"/>
  <c r="D234" i="35"/>
  <c r="H233" i="35"/>
  <c r="D233" i="35"/>
  <c r="H232" i="35"/>
  <c r="D232" i="35"/>
  <c r="H231" i="35"/>
  <c r="D231" i="35"/>
  <c r="Q230" i="35"/>
  <c r="H230" i="35"/>
  <c r="D230" i="35"/>
  <c r="C230" i="35"/>
  <c r="M229" i="35"/>
  <c r="K229" i="35"/>
  <c r="H228" i="35"/>
  <c r="D228" i="35"/>
  <c r="H227" i="35"/>
  <c r="D227" i="35"/>
  <c r="H226" i="35"/>
  <c r="D226" i="35"/>
  <c r="H225" i="35"/>
  <c r="D225" i="35"/>
  <c r="H224" i="35"/>
  <c r="D224" i="35"/>
  <c r="H223" i="35"/>
  <c r="D223" i="35"/>
  <c r="H222" i="35"/>
  <c r="D222" i="35"/>
  <c r="H221" i="35"/>
  <c r="D221" i="35"/>
  <c r="H220" i="35"/>
  <c r="D220" i="35"/>
  <c r="H219" i="35"/>
  <c r="D219" i="35"/>
  <c r="H218" i="35"/>
  <c r="D218" i="35"/>
  <c r="H217" i="35"/>
  <c r="D217" i="35"/>
  <c r="H216" i="35"/>
  <c r="D216" i="35"/>
  <c r="H215" i="35"/>
  <c r="D215" i="35"/>
  <c r="H214" i="35"/>
  <c r="D214" i="35"/>
  <c r="H213" i="35"/>
  <c r="D213" i="35"/>
  <c r="H212" i="35"/>
  <c r="D212" i="35"/>
  <c r="H211" i="35"/>
  <c r="D211" i="35"/>
  <c r="H210" i="35"/>
  <c r="D210" i="35"/>
  <c r="H209" i="35"/>
  <c r="D209" i="35"/>
  <c r="H208" i="35"/>
  <c r="D208" i="35"/>
  <c r="H207" i="35"/>
  <c r="D207" i="35"/>
  <c r="H206" i="35"/>
  <c r="D206" i="35"/>
  <c r="H205" i="35"/>
  <c r="D205" i="35"/>
  <c r="H204" i="35"/>
  <c r="D204" i="35"/>
  <c r="H203" i="35"/>
  <c r="D203" i="35"/>
  <c r="H202" i="35"/>
  <c r="D202" i="35"/>
  <c r="H201" i="35"/>
  <c r="D201" i="35"/>
  <c r="H200" i="35"/>
  <c r="D200" i="35"/>
  <c r="H199" i="35"/>
  <c r="D199" i="35"/>
  <c r="Q198" i="35"/>
  <c r="J199" i="35" s="1"/>
  <c r="Q199" i="35" s="1"/>
  <c r="J200" i="35" s="1"/>
  <c r="Q200" i="35" s="1"/>
  <c r="J201" i="35" s="1"/>
  <c r="Q201" i="35" s="1"/>
  <c r="J202" i="35" s="1"/>
  <c r="Q202" i="35" s="1"/>
  <c r="J203" i="35" s="1"/>
  <c r="Q203" i="35" s="1"/>
  <c r="J204" i="35" s="1"/>
  <c r="Q204" i="35" s="1"/>
  <c r="J205" i="35" s="1"/>
  <c r="Q205" i="35" s="1"/>
  <c r="J206" i="35" s="1"/>
  <c r="Q206" i="35" s="1"/>
  <c r="J207" i="35" s="1"/>
  <c r="Q207" i="35" s="1"/>
  <c r="J208" i="35" s="1"/>
  <c r="Q208" i="35" s="1"/>
  <c r="J209" i="35" s="1"/>
  <c r="Q209" i="35" s="1"/>
  <c r="J210" i="35" s="1"/>
  <c r="Q210" i="35" s="1"/>
  <c r="J211" i="35" s="1"/>
  <c r="Q211" i="35" s="1"/>
  <c r="J212" i="35" s="1"/>
  <c r="Q212" i="35" s="1"/>
  <c r="J213" i="35" s="1"/>
  <c r="Q213" i="35" s="1"/>
  <c r="J214" i="35" s="1"/>
  <c r="Q214" i="35" s="1"/>
  <c r="J215" i="35" s="1"/>
  <c r="Q215" i="35" s="1"/>
  <c r="J216" i="35" s="1"/>
  <c r="Q216" i="35" s="1"/>
  <c r="J217" i="35" s="1"/>
  <c r="Q217" i="35" s="1"/>
  <c r="J218" i="35" s="1"/>
  <c r="Q218" i="35" s="1"/>
  <c r="J219" i="35" s="1"/>
  <c r="Q219" i="35" s="1"/>
  <c r="J220" i="35" s="1"/>
  <c r="Q220" i="35" s="1"/>
  <c r="J221" i="35" s="1"/>
  <c r="Q221" i="35" s="1"/>
  <c r="J222" i="35" s="1"/>
  <c r="Q222" i="35" s="1"/>
  <c r="J223" i="35" s="1"/>
  <c r="Q223" i="35" s="1"/>
  <c r="J224" i="35" s="1"/>
  <c r="Q224" i="35" s="1"/>
  <c r="J225" i="35" s="1"/>
  <c r="Q225" i="35" s="1"/>
  <c r="J226" i="35" s="1"/>
  <c r="Q226" i="35" s="1"/>
  <c r="J227" i="35" s="1"/>
  <c r="Q227" i="35" s="1"/>
  <c r="J228" i="35" s="1"/>
  <c r="Q228" i="35" s="1"/>
  <c r="H198" i="35"/>
  <c r="D198" i="35"/>
  <c r="C198" i="35"/>
  <c r="M197" i="35"/>
  <c r="K197" i="35"/>
  <c r="H196" i="35"/>
  <c r="D196" i="35"/>
  <c r="H195" i="35"/>
  <c r="D195" i="35"/>
  <c r="H194" i="35"/>
  <c r="D194" i="35"/>
  <c r="H193" i="35"/>
  <c r="D193" i="35"/>
  <c r="H192" i="35"/>
  <c r="D192" i="35"/>
  <c r="H191" i="35"/>
  <c r="D191" i="35"/>
  <c r="H190" i="35"/>
  <c r="D190" i="35"/>
  <c r="H189" i="35"/>
  <c r="D189" i="35"/>
  <c r="H188" i="35"/>
  <c r="D188" i="35"/>
  <c r="H187" i="35"/>
  <c r="D187" i="35"/>
  <c r="H186" i="35"/>
  <c r="D186" i="35"/>
  <c r="H185" i="35"/>
  <c r="D185" i="35"/>
  <c r="H184" i="35"/>
  <c r="D184" i="35"/>
  <c r="H183" i="35"/>
  <c r="D183" i="35"/>
  <c r="H182" i="35"/>
  <c r="D182" i="35"/>
  <c r="H181" i="35"/>
  <c r="D181" i="35"/>
  <c r="H180" i="35"/>
  <c r="D180" i="35"/>
  <c r="H179" i="35"/>
  <c r="D179" i="35"/>
  <c r="H178" i="35"/>
  <c r="D178" i="35"/>
  <c r="H177" i="35"/>
  <c r="D177" i="35"/>
  <c r="H176" i="35"/>
  <c r="D176" i="35"/>
  <c r="H175" i="35"/>
  <c r="D175" i="35"/>
  <c r="H174" i="35"/>
  <c r="D174" i="35"/>
  <c r="H173" i="35"/>
  <c r="D173" i="35"/>
  <c r="H172" i="35"/>
  <c r="D172" i="35"/>
  <c r="H171" i="35"/>
  <c r="D171" i="35"/>
  <c r="H170" i="35"/>
  <c r="D170" i="35"/>
  <c r="H169" i="35"/>
  <c r="D169" i="35"/>
  <c r="H168" i="35"/>
  <c r="D168" i="35"/>
  <c r="H167" i="35"/>
  <c r="D167" i="35"/>
  <c r="Q166" i="35"/>
  <c r="J167" i="35" s="1"/>
  <c r="Q167" i="35" s="1"/>
  <c r="J168" i="35" s="1"/>
  <c r="Q168" i="35" s="1"/>
  <c r="J169" i="35" s="1"/>
  <c r="Q169" i="35" s="1"/>
  <c r="J170" i="35" s="1"/>
  <c r="Q170" i="35" s="1"/>
  <c r="J171" i="35" s="1"/>
  <c r="Q171" i="35" s="1"/>
  <c r="J172" i="35" s="1"/>
  <c r="Q172" i="35" s="1"/>
  <c r="J173" i="35" s="1"/>
  <c r="Q173" i="35" s="1"/>
  <c r="J174" i="35" s="1"/>
  <c r="Q174" i="35" s="1"/>
  <c r="J175" i="35" s="1"/>
  <c r="Q175" i="35" s="1"/>
  <c r="J176" i="35" s="1"/>
  <c r="Q176" i="35" s="1"/>
  <c r="J177" i="35" s="1"/>
  <c r="Q177" i="35" s="1"/>
  <c r="J178" i="35" s="1"/>
  <c r="Q178" i="35" s="1"/>
  <c r="J179" i="35" s="1"/>
  <c r="Q179" i="35" s="1"/>
  <c r="J180" i="35" s="1"/>
  <c r="Q180" i="35" s="1"/>
  <c r="J181" i="35" s="1"/>
  <c r="Q181" i="35" s="1"/>
  <c r="J182" i="35" s="1"/>
  <c r="Q182" i="35" s="1"/>
  <c r="J183" i="35" s="1"/>
  <c r="Q183" i="35" s="1"/>
  <c r="J184" i="35" s="1"/>
  <c r="Q184" i="35" s="1"/>
  <c r="J185" i="35" s="1"/>
  <c r="Q185" i="35" s="1"/>
  <c r="J186" i="35" s="1"/>
  <c r="Q186" i="35" s="1"/>
  <c r="J187" i="35" s="1"/>
  <c r="Q187" i="35" s="1"/>
  <c r="J188" i="35" s="1"/>
  <c r="Q188" i="35" s="1"/>
  <c r="J189" i="35" s="1"/>
  <c r="Q189" i="35" s="1"/>
  <c r="J190" i="35" s="1"/>
  <c r="Q190" i="35" s="1"/>
  <c r="J191" i="35" s="1"/>
  <c r="Q191" i="35" s="1"/>
  <c r="J192" i="35" s="1"/>
  <c r="Q192" i="35" s="1"/>
  <c r="J193" i="35" s="1"/>
  <c r="Q193" i="35" s="1"/>
  <c r="J194" i="35" s="1"/>
  <c r="Q194" i="35" s="1"/>
  <c r="J195" i="35" s="1"/>
  <c r="Q195" i="35" s="1"/>
  <c r="J196" i="35" s="1"/>
  <c r="Q196" i="35" s="1"/>
  <c r="H166" i="35"/>
  <c r="D166" i="35"/>
  <c r="C166" i="35"/>
  <c r="M165" i="35"/>
  <c r="K165" i="35"/>
  <c r="H164" i="35"/>
  <c r="D164" i="35"/>
  <c r="H163" i="35"/>
  <c r="D163" i="35"/>
  <c r="H162" i="35"/>
  <c r="D162" i="35"/>
  <c r="H161" i="35"/>
  <c r="D161" i="35"/>
  <c r="H160" i="35"/>
  <c r="D160" i="35"/>
  <c r="H159" i="35"/>
  <c r="D159" i="35"/>
  <c r="H158" i="35"/>
  <c r="D158" i="35"/>
  <c r="H157" i="35"/>
  <c r="D157" i="35"/>
  <c r="H156" i="35"/>
  <c r="D156" i="35"/>
  <c r="H155" i="35"/>
  <c r="D155" i="35"/>
  <c r="H154" i="35"/>
  <c r="D154" i="35"/>
  <c r="H153" i="35"/>
  <c r="D153" i="35"/>
  <c r="H152" i="35"/>
  <c r="D152" i="35"/>
  <c r="H151" i="35"/>
  <c r="D151" i="35"/>
  <c r="H150" i="35"/>
  <c r="D150" i="35"/>
  <c r="H149" i="35"/>
  <c r="D149" i="35"/>
  <c r="H148" i="35"/>
  <c r="D148" i="35"/>
  <c r="H147" i="35"/>
  <c r="D147" i="35"/>
  <c r="H146" i="35"/>
  <c r="D146" i="35"/>
  <c r="H145" i="35"/>
  <c r="D145" i="35"/>
  <c r="H144" i="35"/>
  <c r="D144" i="35"/>
  <c r="H143" i="35"/>
  <c r="D143" i="35"/>
  <c r="H142" i="35"/>
  <c r="D142" i="35"/>
  <c r="H141" i="35"/>
  <c r="D141" i="35"/>
  <c r="H140" i="35"/>
  <c r="D140" i="35"/>
  <c r="H139" i="35"/>
  <c r="D139" i="35"/>
  <c r="H138" i="35"/>
  <c r="D138" i="35"/>
  <c r="H137" i="35"/>
  <c r="D137" i="35"/>
  <c r="H136" i="35"/>
  <c r="D136" i="35"/>
  <c r="H135" i="35"/>
  <c r="D135" i="35"/>
  <c r="Q134" i="35"/>
  <c r="J135" i="35" s="1"/>
  <c r="Q135" i="35" s="1"/>
  <c r="J136" i="35" s="1"/>
  <c r="Q136" i="35" s="1"/>
  <c r="J137" i="35" s="1"/>
  <c r="Q137" i="35" s="1"/>
  <c r="J138" i="35" s="1"/>
  <c r="Q138" i="35" s="1"/>
  <c r="J139" i="35" s="1"/>
  <c r="Q139" i="35" s="1"/>
  <c r="J140" i="35" s="1"/>
  <c r="Q140" i="35" s="1"/>
  <c r="J141" i="35" s="1"/>
  <c r="Q141" i="35" s="1"/>
  <c r="J142" i="35" s="1"/>
  <c r="Q142" i="35" s="1"/>
  <c r="J143" i="35" s="1"/>
  <c r="Q143" i="35" s="1"/>
  <c r="J144" i="35" s="1"/>
  <c r="Q144" i="35" s="1"/>
  <c r="J145" i="35" s="1"/>
  <c r="Q145" i="35" s="1"/>
  <c r="J146" i="35" s="1"/>
  <c r="Q146" i="35" s="1"/>
  <c r="J147" i="35" s="1"/>
  <c r="Q147" i="35" s="1"/>
  <c r="J148" i="35" s="1"/>
  <c r="Q148" i="35" s="1"/>
  <c r="J149" i="35" s="1"/>
  <c r="Q149" i="35" s="1"/>
  <c r="J150" i="35" s="1"/>
  <c r="Q150" i="35" s="1"/>
  <c r="J151" i="35" s="1"/>
  <c r="Q151" i="35" s="1"/>
  <c r="J152" i="35" s="1"/>
  <c r="Q152" i="35" s="1"/>
  <c r="J153" i="35" s="1"/>
  <c r="Q153" i="35" s="1"/>
  <c r="J154" i="35" s="1"/>
  <c r="Q154" i="35" s="1"/>
  <c r="J155" i="35" s="1"/>
  <c r="Q155" i="35" s="1"/>
  <c r="J156" i="35" s="1"/>
  <c r="Q156" i="35" s="1"/>
  <c r="J157" i="35" s="1"/>
  <c r="Q157" i="35" s="1"/>
  <c r="J158" i="35" s="1"/>
  <c r="Q158" i="35" s="1"/>
  <c r="J159" i="35" s="1"/>
  <c r="Q159" i="35" s="1"/>
  <c r="J160" i="35" s="1"/>
  <c r="Q160" i="35" s="1"/>
  <c r="J161" i="35" s="1"/>
  <c r="Q161" i="35" s="1"/>
  <c r="J162" i="35" s="1"/>
  <c r="Q162" i="35" s="1"/>
  <c r="J163" i="35" s="1"/>
  <c r="Q163" i="35" s="1"/>
  <c r="J164" i="35" s="1"/>
  <c r="Q164" i="35" s="1"/>
  <c r="H134" i="35"/>
  <c r="D134" i="35"/>
  <c r="C134" i="35"/>
  <c r="M133" i="35"/>
  <c r="K133" i="35"/>
  <c r="H132" i="35"/>
  <c r="D132" i="35"/>
  <c r="H131" i="35"/>
  <c r="D131" i="35"/>
  <c r="H130" i="35"/>
  <c r="D130" i="35"/>
  <c r="H129" i="35"/>
  <c r="D129" i="35"/>
  <c r="H128" i="35"/>
  <c r="D128" i="35"/>
  <c r="H127" i="35"/>
  <c r="D127" i="35"/>
  <c r="H126" i="35"/>
  <c r="D126" i="35"/>
  <c r="H125" i="35"/>
  <c r="D125" i="35"/>
  <c r="H124" i="35"/>
  <c r="D124" i="35"/>
  <c r="H123" i="35"/>
  <c r="D123" i="35"/>
  <c r="H122" i="35"/>
  <c r="D122" i="35"/>
  <c r="H121" i="35"/>
  <c r="D121" i="35"/>
  <c r="H120" i="35"/>
  <c r="D120" i="35"/>
  <c r="H119" i="35"/>
  <c r="D119" i="35"/>
  <c r="H118" i="35"/>
  <c r="D118" i="35"/>
  <c r="H117" i="35"/>
  <c r="D117" i="35"/>
  <c r="H116" i="35"/>
  <c r="D116" i="35"/>
  <c r="H115" i="35"/>
  <c r="D115" i="35"/>
  <c r="H114" i="35"/>
  <c r="D114" i="35"/>
  <c r="H113" i="35"/>
  <c r="D113" i="35"/>
  <c r="H112" i="35"/>
  <c r="D112" i="35"/>
  <c r="H111" i="35"/>
  <c r="D111" i="35"/>
  <c r="H110" i="35"/>
  <c r="D110" i="35"/>
  <c r="H109" i="35"/>
  <c r="D109" i="35"/>
  <c r="H108" i="35"/>
  <c r="D108" i="35"/>
  <c r="H107" i="35"/>
  <c r="D107" i="35"/>
  <c r="H106" i="35"/>
  <c r="D106" i="35"/>
  <c r="Q105" i="35"/>
  <c r="J106" i="35" s="1"/>
  <c r="Q106" i="35" s="1"/>
  <c r="J107" i="35" s="1"/>
  <c r="Q107" i="35" s="1"/>
  <c r="J108" i="35" s="1"/>
  <c r="Q108" i="35" s="1"/>
  <c r="J109" i="35" s="1"/>
  <c r="Q109" i="35" s="1"/>
  <c r="J110" i="35" s="1"/>
  <c r="Q110" i="35" s="1"/>
  <c r="J111" i="35" s="1"/>
  <c r="Q111" i="35" s="1"/>
  <c r="J112" i="35" s="1"/>
  <c r="Q112" i="35" s="1"/>
  <c r="J113" i="35" s="1"/>
  <c r="Q113" i="35" s="1"/>
  <c r="J114" i="35" s="1"/>
  <c r="Q114" i="35" s="1"/>
  <c r="J115" i="35" s="1"/>
  <c r="Q115" i="35" s="1"/>
  <c r="J116" i="35" s="1"/>
  <c r="Q116" i="35" s="1"/>
  <c r="J117" i="35" s="1"/>
  <c r="Q117" i="35" s="1"/>
  <c r="J118" i="35" s="1"/>
  <c r="Q118" i="35" s="1"/>
  <c r="J119" i="35" s="1"/>
  <c r="Q119" i="35" s="1"/>
  <c r="J120" i="35" s="1"/>
  <c r="Q120" i="35" s="1"/>
  <c r="J121" i="35" s="1"/>
  <c r="Q121" i="35" s="1"/>
  <c r="J122" i="35" s="1"/>
  <c r="Q122" i="35" s="1"/>
  <c r="J123" i="35" s="1"/>
  <c r="Q123" i="35" s="1"/>
  <c r="J124" i="35" s="1"/>
  <c r="Q124" i="35" s="1"/>
  <c r="J125" i="35" s="1"/>
  <c r="Q125" i="35" s="1"/>
  <c r="J126" i="35" s="1"/>
  <c r="Q126" i="35" s="1"/>
  <c r="J127" i="35" s="1"/>
  <c r="Q127" i="35" s="1"/>
  <c r="J128" i="35" s="1"/>
  <c r="Q128" i="35" s="1"/>
  <c r="J129" i="35" s="1"/>
  <c r="Q129" i="35" s="1"/>
  <c r="J130" i="35" s="1"/>
  <c r="Q130" i="35" s="1"/>
  <c r="J131" i="35" s="1"/>
  <c r="Q131" i="35" s="1"/>
  <c r="J132" i="35" s="1"/>
  <c r="Q132" i="35" s="1"/>
  <c r="H105" i="35"/>
  <c r="D105" i="35"/>
  <c r="H104" i="35"/>
  <c r="D104" i="35"/>
  <c r="H103" i="35"/>
  <c r="D103" i="35"/>
  <c r="Q102" i="35"/>
  <c r="J103" i="35" s="1"/>
  <c r="Q103" i="35" s="1"/>
  <c r="J104" i="35" s="1"/>
  <c r="Q104" i="35" s="1"/>
  <c r="J105" i="35" s="1"/>
  <c r="H102" i="35"/>
  <c r="D102" i="35"/>
  <c r="C102" i="35"/>
  <c r="M101" i="35"/>
  <c r="K101" i="35"/>
  <c r="H100" i="35"/>
  <c r="D100" i="35"/>
  <c r="H99" i="35"/>
  <c r="D99" i="35"/>
  <c r="H98" i="35"/>
  <c r="D98" i="35"/>
  <c r="H97" i="35"/>
  <c r="D97" i="35"/>
  <c r="H96" i="35"/>
  <c r="D96" i="35"/>
  <c r="H95" i="35"/>
  <c r="D95" i="35"/>
  <c r="H94" i="35"/>
  <c r="D94" i="35"/>
  <c r="H93" i="35"/>
  <c r="D93" i="35"/>
  <c r="H92" i="35"/>
  <c r="D92" i="35"/>
  <c r="H91" i="35"/>
  <c r="D91" i="35"/>
  <c r="H90" i="35"/>
  <c r="D90" i="35"/>
  <c r="H89" i="35"/>
  <c r="D89" i="35"/>
  <c r="H88" i="35"/>
  <c r="D88" i="35"/>
  <c r="H87" i="35"/>
  <c r="D87" i="35"/>
  <c r="H86" i="35"/>
  <c r="D86" i="35"/>
  <c r="H85" i="35"/>
  <c r="D85" i="35"/>
  <c r="H84" i="35"/>
  <c r="D84" i="35"/>
  <c r="H83" i="35"/>
  <c r="D83" i="35"/>
  <c r="H82" i="35"/>
  <c r="D82" i="35"/>
  <c r="H81" i="35"/>
  <c r="D81" i="35"/>
  <c r="H80" i="35"/>
  <c r="D80" i="35"/>
  <c r="H79" i="35"/>
  <c r="D79" i="35"/>
  <c r="H78" i="35"/>
  <c r="D78" i="35"/>
  <c r="H77" i="35"/>
  <c r="D77" i="35"/>
  <c r="H76" i="35"/>
  <c r="D76" i="35"/>
  <c r="H75" i="35"/>
  <c r="D75" i="35"/>
  <c r="H74" i="35"/>
  <c r="D74" i="35"/>
  <c r="H73" i="35"/>
  <c r="D73" i="35"/>
  <c r="H72" i="35"/>
  <c r="D72" i="35"/>
  <c r="H71" i="35"/>
  <c r="D71" i="35"/>
  <c r="Q70" i="35"/>
  <c r="J71" i="35" s="1"/>
  <c r="Q71" i="35" s="1"/>
  <c r="J72" i="35" s="1"/>
  <c r="Q72" i="35" s="1"/>
  <c r="J73" i="35" s="1"/>
  <c r="Q73" i="35" s="1"/>
  <c r="J74" i="35" s="1"/>
  <c r="Q74" i="35" s="1"/>
  <c r="J75" i="35" s="1"/>
  <c r="Q75" i="35" s="1"/>
  <c r="J76" i="35" s="1"/>
  <c r="Q76" i="35" s="1"/>
  <c r="J77" i="35" s="1"/>
  <c r="Q77" i="35" s="1"/>
  <c r="J78" i="35" s="1"/>
  <c r="Q78" i="35" s="1"/>
  <c r="J79" i="35" s="1"/>
  <c r="Q79" i="35" s="1"/>
  <c r="J80" i="35" s="1"/>
  <c r="Q80" i="35" s="1"/>
  <c r="J81" i="35" s="1"/>
  <c r="Q81" i="35" s="1"/>
  <c r="J82" i="35" s="1"/>
  <c r="Q82" i="35" s="1"/>
  <c r="J83" i="35" s="1"/>
  <c r="Q83" i="35" s="1"/>
  <c r="J84" i="35" s="1"/>
  <c r="Q84" i="35" s="1"/>
  <c r="J85" i="35" s="1"/>
  <c r="Q85" i="35" s="1"/>
  <c r="J86" i="35" s="1"/>
  <c r="Q86" i="35" s="1"/>
  <c r="J87" i="35" s="1"/>
  <c r="Q87" i="35" s="1"/>
  <c r="J88" i="35" s="1"/>
  <c r="Q88" i="35" s="1"/>
  <c r="J89" i="35" s="1"/>
  <c r="Q89" i="35" s="1"/>
  <c r="J90" i="35" s="1"/>
  <c r="Q90" i="35" s="1"/>
  <c r="J91" i="35" s="1"/>
  <c r="Q91" i="35" s="1"/>
  <c r="J92" i="35" s="1"/>
  <c r="Q92" i="35" s="1"/>
  <c r="J93" i="35" s="1"/>
  <c r="Q93" i="35" s="1"/>
  <c r="J94" i="35" s="1"/>
  <c r="Q94" i="35" s="1"/>
  <c r="J95" i="35" s="1"/>
  <c r="Q95" i="35" s="1"/>
  <c r="J96" i="35" s="1"/>
  <c r="Q96" i="35" s="1"/>
  <c r="J97" i="35" s="1"/>
  <c r="Q97" i="35" s="1"/>
  <c r="J98" i="35" s="1"/>
  <c r="Q98" i="35" s="1"/>
  <c r="J99" i="35" s="1"/>
  <c r="Q99" i="35" s="1"/>
  <c r="J100" i="35" s="1"/>
  <c r="Q100" i="35" s="1"/>
  <c r="H70" i="35"/>
  <c r="D70" i="35"/>
  <c r="C70" i="35"/>
  <c r="M69" i="35"/>
  <c r="K69" i="35"/>
  <c r="H68" i="35"/>
  <c r="D68" i="35"/>
  <c r="H67" i="35"/>
  <c r="D67" i="35"/>
  <c r="H66" i="35"/>
  <c r="D66" i="35"/>
  <c r="H65" i="35"/>
  <c r="D65" i="35"/>
  <c r="H64" i="35"/>
  <c r="D64" i="35"/>
  <c r="H63" i="35"/>
  <c r="D63" i="35"/>
  <c r="H62" i="35"/>
  <c r="D62" i="35"/>
  <c r="H61" i="35"/>
  <c r="D61" i="35"/>
  <c r="H60" i="35"/>
  <c r="D60" i="35"/>
  <c r="H59" i="35"/>
  <c r="D59" i="35"/>
  <c r="H58" i="35"/>
  <c r="D58" i="35"/>
  <c r="H57" i="35"/>
  <c r="D57" i="35"/>
  <c r="H56" i="35"/>
  <c r="D56" i="35"/>
  <c r="H55" i="35"/>
  <c r="D55" i="35"/>
  <c r="H54" i="35"/>
  <c r="D54" i="35"/>
  <c r="H53" i="35"/>
  <c r="D53" i="35"/>
  <c r="H52" i="35"/>
  <c r="D52" i="35"/>
  <c r="H51" i="35"/>
  <c r="D51" i="35"/>
  <c r="H50" i="35"/>
  <c r="D50" i="35"/>
  <c r="H49" i="35"/>
  <c r="D49" i="35"/>
  <c r="H48" i="35"/>
  <c r="D48" i="35"/>
  <c r="H47" i="35"/>
  <c r="D47" i="35"/>
  <c r="H46" i="35"/>
  <c r="D46" i="35"/>
  <c r="H45" i="35"/>
  <c r="D45" i="35"/>
  <c r="H44" i="35"/>
  <c r="D44" i="35"/>
  <c r="H43" i="35"/>
  <c r="D43" i="35"/>
  <c r="H42" i="35"/>
  <c r="D42" i="35"/>
  <c r="H41" i="35"/>
  <c r="D41" i="35"/>
  <c r="H40" i="35"/>
  <c r="D40" i="35"/>
  <c r="H39" i="35"/>
  <c r="D39" i="35"/>
  <c r="Q38" i="35"/>
  <c r="J39" i="35" s="1"/>
  <c r="Q39" i="35" s="1"/>
  <c r="J40" i="35" s="1"/>
  <c r="Q40" i="35" s="1"/>
  <c r="J41" i="35" s="1"/>
  <c r="Q41" i="35" s="1"/>
  <c r="J42" i="35" s="1"/>
  <c r="Q42" i="35" s="1"/>
  <c r="J43" i="35" s="1"/>
  <c r="Q43" i="35" s="1"/>
  <c r="J44" i="35" s="1"/>
  <c r="Q44" i="35" s="1"/>
  <c r="J45" i="35" s="1"/>
  <c r="Q45" i="35" s="1"/>
  <c r="J46" i="35" s="1"/>
  <c r="Q46" i="35" s="1"/>
  <c r="J47" i="35" s="1"/>
  <c r="Q47" i="35" s="1"/>
  <c r="J48" i="35" s="1"/>
  <c r="Q48" i="35" s="1"/>
  <c r="J49" i="35" s="1"/>
  <c r="Q49" i="35" s="1"/>
  <c r="J50" i="35" s="1"/>
  <c r="Q50" i="35" s="1"/>
  <c r="J51" i="35" s="1"/>
  <c r="Q51" i="35" s="1"/>
  <c r="J52" i="35" s="1"/>
  <c r="Q52" i="35" s="1"/>
  <c r="J53" i="35" s="1"/>
  <c r="Q53" i="35" s="1"/>
  <c r="J54" i="35" s="1"/>
  <c r="Q54" i="35" s="1"/>
  <c r="J55" i="35" s="1"/>
  <c r="Q55" i="35" s="1"/>
  <c r="J56" i="35" s="1"/>
  <c r="Q56" i="35" s="1"/>
  <c r="J57" i="35" s="1"/>
  <c r="Q57" i="35" s="1"/>
  <c r="J58" i="35" s="1"/>
  <c r="Q58" i="35" s="1"/>
  <c r="J59" i="35" s="1"/>
  <c r="Q59" i="35" s="1"/>
  <c r="J60" i="35" s="1"/>
  <c r="Q60" i="35" s="1"/>
  <c r="J61" i="35" s="1"/>
  <c r="Q61" i="35" s="1"/>
  <c r="J62" i="35" s="1"/>
  <c r="Q62" i="35" s="1"/>
  <c r="J63" i="35" s="1"/>
  <c r="Q63" i="35" s="1"/>
  <c r="J64" i="35" s="1"/>
  <c r="Q64" i="35" s="1"/>
  <c r="J65" i="35" s="1"/>
  <c r="Q65" i="35" s="1"/>
  <c r="J66" i="35" s="1"/>
  <c r="Q66" i="35" s="1"/>
  <c r="J67" i="35" s="1"/>
  <c r="Q67" i="35" s="1"/>
  <c r="J68" i="35" s="1"/>
  <c r="Q68" i="35" s="1"/>
  <c r="H38" i="35"/>
  <c r="D38" i="35"/>
  <c r="C38" i="35"/>
  <c r="M37" i="35"/>
  <c r="L37" i="35"/>
  <c r="K37" i="35"/>
  <c r="H36" i="35"/>
  <c r="D36" i="35"/>
  <c r="H35" i="35"/>
  <c r="D35" i="35"/>
  <c r="H34" i="35"/>
  <c r="D34" i="35"/>
  <c r="H33" i="35"/>
  <c r="D33" i="35"/>
  <c r="H32" i="35"/>
  <c r="D32" i="35"/>
  <c r="H31" i="35"/>
  <c r="D31" i="35"/>
  <c r="H30" i="35"/>
  <c r="D30" i="35"/>
  <c r="H29" i="35"/>
  <c r="D29" i="35"/>
  <c r="H28" i="35"/>
  <c r="D28" i="35"/>
  <c r="H27" i="35"/>
  <c r="D27" i="35"/>
  <c r="H26" i="35"/>
  <c r="D26" i="35"/>
  <c r="H25" i="35"/>
  <c r="D25" i="35"/>
  <c r="H24" i="35"/>
  <c r="D24" i="35"/>
  <c r="H23" i="35"/>
  <c r="D23" i="35"/>
  <c r="H22" i="35"/>
  <c r="D22" i="35"/>
  <c r="H21" i="35"/>
  <c r="D21" i="35"/>
  <c r="H20" i="35"/>
  <c r="D20" i="35"/>
  <c r="H19" i="35"/>
  <c r="D19" i="35"/>
  <c r="H18" i="35"/>
  <c r="D18" i="35"/>
  <c r="H17" i="35"/>
  <c r="D17" i="35"/>
  <c r="H16" i="35"/>
  <c r="D16" i="35"/>
  <c r="H15" i="35"/>
  <c r="D15" i="35"/>
  <c r="H14" i="35"/>
  <c r="D14" i="35"/>
  <c r="H13" i="35"/>
  <c r="D13" i="35"/>
  <c r="H12" i="35"/>
  <c r="D12" i="35"/>
  <c r="H11" i="35"/>
  <c r="D11" i="35"/>
  <c r="H10" i="35"/>
  <c r="D10" i="35"/>
  <c r="H9" i="35"/>
  <c r="D9" i="35"/>
  <c r="H8" i="35"/>
  <c r="D8" i="35"/>
  <c r="H7" i="35"/>
  <c r="D7" i="35"/>
  <c r="Q6" i="35"/>
  <c r="J7" i="35" s="1"/>
  <c r="Q7" i="35" s="1"/>
  <c r="J8" i="35" s="1"/>
  <c r="Q8" i="35" s="1"/>
  <c r="J9" i="35" s="1"/>
  <c r="Q9" i="35" s="1"/>
  <c r="J10" i="35" s="1"/>
  <c r="Q10" i="35" s="1"/>
  <c r="J11" i="35" s="1"/>
  <c r="Q11" i="35" s="1"/>
  <c r="J12" i="35" s="1"/>
  <c r="Q12" i="35" s="1"/>
  <c r="J13" i="35" s="1"/>
  <c r="Q13" i="35" s="1"/>
  <c r="J14" i="35" s="1"/>
  <c r="Q14" i="35" s="1"/>
  <c r="J15" i="35" s="1"/>
  <c r="Q15" i="35" s="1"/>
  <c r="J16" i="35" s="1"/>
  <c r="Q16" i="35" s="1"/>
  <c r="J17" i="35" s="1"/>
  <c r="Q17" i="35" s="1"/>
  <c r="J18" i="35" s="1"/>
  <c r="Q18" i="35" s="1"/>
  <c r="J19" i="35" s="1"/>
  <c r="Q19" i="35" s="1"/>
  <c r="J20" i="35" s="1"/>
  <c r="Q20" i="35" s="1"/>
  <c r="J21" i="35" s="1"/>
  <c r="Q21" i="35" s="1"/>
  <c r="J22" i="35" s="1"/>
  <c r="Q22" i="35" s="1"/>
  <c r="J23" i="35" s="1"/>
  <c r="Q23" i="35" s="1"/>
  <c r="J24" i="35" s="1"/>
  <c r="Q24" i="35" s="1"/>
  <c r="J25" i="35" s="1"/>
  <c r="Q25" i="35" s="1"/>
  <c r="J26" i="35" s="1"/>
  <c r="Q26" i="35" s="1"/>
  <c r="J27" i="35" s="1"/>
  <c r="Q27" i="35" s="1"/>
  <c r="J28" i="35" s="1"/>
  <c r="Q28" i="35" s="1"/>
  <c r="J29" i="35" s="1"/>
  <c r="Q29" i="35" s="1"/>
  <c r="J30" i="35" s="1"/>
  <c r="Q30" i="35" s="1"/>
  <c r="J31" i="35" s="1"/>
  <c r="Q31" i="35" s="1"/>
  <c r="J32" i="35" s="1"/>
  <c r="Q32" i="35" s="1"/>
  <c r="J33" i="35" s="1"/>
  <c r="Q33" i="35" s="1"/>
  <c r="J34" i="35" s="1"/>
  <c r="Q34" i="35" s="1"/>
  <c r="J35" i="35" s="1"/>
  <c r="Q35" i="35" s="1"/>
  <c r="J36" i="35" s="1"/>
  <c r="Q36" i="35" s="1"/>
  <c r="H6" i="35"/>
  <c r="D6" i="35"/>
  <c r="C6" i="35"/>
  <c r="AB36" i="34"/>
  <c r="AB37" i="34" s="1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G35" i="34"/>
  <c r="F35" i="34"/>
  <c r="C35" i="34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F34" i="34"/>
  <c r="C34" i="34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G33" i="34"/>
  <c r="F33" i="34"/>
  <c r="C33" i="34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H32" i="34"/>
  <c r="G32" i="34"/>
  <c r="F32" i="34"/>
  <c r="C32" i="34"/>
  <c r="Z31" i="34"/>
  <c r="Y31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G31" i="34"/>
  <c r="F31" i="34"/>
  <c r="C31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C30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C29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C28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C27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C26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C25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C24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C23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C22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C21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C20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C18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C17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C16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C15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C14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C13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C12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C11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C10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C9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AA8" i="34" s="1"/>
  <c r="C8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C7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C6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C5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G4" i="34"/>
  <c r="F4" i="34"/>
  <c r="C4" i="34"/>
  <c r="B4" i="34"/>
  <c r="BJ36" i="33"/>
  <c r="BI36" i="33"/>
  <c r="BG36" i="33"/>
  <c r="BF36" i="33"/>
  <c r="BD36" i="33"/>
  <c r="BC36" i="33"/>
  <c r="BA36" i="33"/>
  <c r="AZ36" i="33"/>
  <c r="AX36" i="33"/>
  <c r="AW36" i="33"/>
  <c r="AU36" i="33"/>
  <c r="AT36" i="33"/>
  <c r="AS36" i="33"/>
  <c r="AQ36" i="33"/>
  <c r="AP36" i="33"/>
  <c r="AN36" i="33"/>
  <c r="AM36" i="33"/>
  <c r="AL36" i="33"/>
  <c r="AK36" i="33"/>
  <c r="AI36" i="33"/>
  <c r="AH36" i="33"/>
  <c r="AF36" i="33"/>
  <c r="AE36" i="33"/>
  <c r="AC36" i="33"/>
  <c r="AB36" i="33"/>
  <c r="Z36" i="33"/>
  <c r="Y36" i="33"/>
  <c r="W36" i="33"/>
  <c r="V36" i="33"/>
  <c r="T36" i="33"/>
  <c r="S36" i="33"/>
  <c r="Q36" i="33"/>
  <c r="P36" i="33"/>
  <c r="N36" i="33"/>
  <c r="M36" i="33"/>
  <c r="K36" i="33"/>
  <c r="J36" i="33"/>
  <c r="H36" i="33"/>
  <c r="G36" i="33"/>
  <c r="E36" i="33"/>
  <c r="D36" i="33"/>
  <c r="C36" i="33"/>
  <c r="B36" i="33"/>
  <c r="BJ35" i="33"/>
  <c r="BI35" i="33"/>
  <c r="BG35" i="33"/>
  <c r="BF35" i="33"/>
  <c r="BD35" i="33"/>
  <c r="BC35" i="33"/>
  <c r="BA35" i="33"/>
  <c r="AZ35" i="33"/>
  <c r="AX35" i="33"/>
  <c r="AW35" i="33"/>
  <c r="AU35" i="33"/>
  <c r="AT35" i="33"/>
  <c r="AS35" i="33"/>
  <c r="AQ35" i="33"/>
  <c r="AP35" i="33"/>
  <c r="AN35" i="33"/>
  <c r="AM35" i="33"/>
  <c r="AL35" i="33"/>
  <c r="AK35" i="33"/>
  <c r="AI35" i="33"/>
  <c r="AH35" i="33"/>
  <c r="AF35" i="33"/>
  <c r="AE35" i="33"/>
  <c r="AC35" i="33"/>
  <c r="AB35" i="33"/>
  <c r="Z35" i="33"/>
  <c r="Y35" i="33"/>
  <c r="W35" i="33"/>
  <c r="V35" i="33"/>
  <c r="T35" i="33"/>
  <c r="S35" i="33"/>
  <c r="Q35" i="33"/>
  <c r="P35" i="33"/>
  <c r="N35" i="33"/>
  <c r="M35" i="33"/>
  <c r="K35" i="33"/>
  <c r="J35" i="33"/>
  <c r="H35" i="33"/>
  <c r="G35" i="33"/>
  <c r="E35" i="33"/>
  <c r="D35" i="33"/>
  <c r="C35" i="33"/>
  <c r="B35" i="33"/>
  <c r="BJ34" i="33"/>
  <c r="BI34" i="33"/>
  <c r="BG34" i="33"/>
  <c r="BF34" i="33"/>
  <c r="BD34" i="33"/>
  <c r="BC34" i="33"/>
  <c r="BA34" i="33"/>
  <c r="AZ34" i="33"/>
  <c r="AX34" i="33"/>
  <c r="AW34" i="33"/>
  <c r="AU34" i="33"/>
  <c r="AT34" i="33"/>
  <c r="AS34" i="33"/>
  <c r="AQ34" i="33"/>
  <c r="AP34" i="33"/>
  <c r="AN34" i="33"/>
  <c r="AM34" i="33"/>
  <c r="AL34" i="33"/>
  <c r="AK34" i="33"/>
  <c r="AI34" i="33"/>
  <c r="AH34" i="33"/>
  <c r="AF34" i="33"/>
  <c r="AE34" i="33"/>
  <c r="AC34" i="33"/>
  <c r="AB34" i="33"/>
  <c r="Z34" i="33"/>
  <c r="Y34" i="33"/>
  <c r="W34" i="33"/>
  <c r="V34" i="33"/>
  <c r="T34" i="33"/>
  <c r="S34" i="33"/>
  <c r="Q34" i="33"/>
  <c r="P34" i="33"/>
  <c r="N34" i="33"/>
  <c r="M34" i="33"/>
  <c r="K34" i="33"/>
  <c r="J34" i="33"/>
  <c r="H34" i="33"/>
  <c r="G34" i="33"/>
  <c r="BL34" i="33" s="1"/>
  <c r="E34" i="33"/>
  <c r="D34" i="33"/>
  <c r="C34" i="33"/>
  <c r="B34" i="33"/>
  <c r="BJ33" i="33"/>
  <c r="BI33" i="33"/>
  <c r="BG33" i="33"/>
  <c r="BF33" i="33"/>
  <c r="BD33" i="33"/>
  <c r="BC33" i="33"/>
  <c r="BA33" i="33"/>
  <c r="AZ33" i="33"/>
  <c r="AX33" i="33"/>
  <c r="AW33" i="33"/>
  <c r="AU33" i="33"/>
  <c r="AT33" i="33"/>
  <c r="AS33" i="33"/>
  <c r="AQ33" i="33"/>
  <c r="AP33" i="33"/>
  <c r="AN33" i="33"/>
  <c r="AM33" i="33"/>
  <c r="AL33" i="33"/>
  <c r="AK33" i="33"/>
  <c r="AI33" i="33"/>
  <c r="AH33" i="33"/>
  <c r="AF33" i="33"/>
  <c r="AE33" i="33"/>
  <c r="AC33" i="33"/>
  <c r="AB33" i="33"/>
  <c r="Z33" i="33"/>
  <c r="Y33" i="33"/>
  <c r="W33" i="33"/>
  <c r="V33" i="33"/>
  <c r="T33" i="33"/>
  <c r="S33" i="33"/>
  <c r="Q33" i="33"/>
  <c r="P33" i="33"/>
  <c r="N33" i="33"/>
  <c r="M33" i="33"/>
  <c r="K33" i="33"/>
  <c r="J33" i="33"/>
  <c r="H33" i="33"/>
  <c r="G33" i="33"/>
  <c r="E33" i="33"/>
  <c r="D33" i="33"/>
  <c r="C33" i="33"/>
  <c r="B33" i="33"/>
  <c r="BJ32" i="33"/>
  <c r="BI32" i="33"/>
  <c r="BG32" i="33"/>
  <c r="BF32" i="33"/>
  <c r="BD32" i="33"/>
  <c r="BC32" i="33"/>
  <c r="BA32" i="33"/>
  <c r="AZ32" i="33"/>
  <c r="AX32" i="33"/>
  <c r="AW32" i="33"/>
  <c r="AU32" i="33"/>
  <c r="AT32" i="33"/>
  <c r="AS32" i="33"/>
  <c r="AQ32" i="33"/>
  <c r="AP32" i="33"/>
  <c r="AN32" i="33"/>
  <c r="AM32" i="33"/>
  <c r="AL32" i="33"/>
  <c r="AK32" i="33"/>
  <c r="AI32" i="33"/>
  <c r="AH32" i="33"/>
  <c r="AF32" i="33"/>
  <c r="AE32" i="33"/>
  <c r="AC32" i="33"/>
  <c r="AB32" i="33"/>
  <c r="Z32" i="33"/>
  <c r="Y32" i="33"/>
  <c r="W32" i="33"/>
  <c r="V32" i="33"/>
  <c r="T32" i="33"/>
  <c r="S32" i="33"/>
  <c r="Q32" i="33"/>
  <c r="P32" i="33"/>
  <c r="N32" i="33"/>
  <c r="M32" i="33"/>
  <c r="K32" i="33"/>
  <c r="J32" i="33"/>
  <c r="H32" i="33"/>
  <c r="G32" i="33"/>
  <c r="E32" i="33"/>
  <c r="D32" i="33"/>
  <c r="C32" i="33"/>
  <c r="B32" i="33"/>
  <c r="BJ31" i="33"/>
  <c r="BI31" i="33"/>
  <c r="BG31" i="33"/>
  <c r="BF31" i="33"/>
  <c r="BD31" i="33"/>
  <c r="BC31" i="33"/>
  <c r="BA31" i="33"/>
  <c r="AZ31" i="33"/>
  <c r="AX31" i="33"/>
  <c r="AW31" i="33"/>
  <c r="AU31" i="33"/>
  <c r="AT31" i="33"/>
  <c r="AS31" i="33"/>
  <c r="AQ31" i="33"/>
  <c r="AP31" i="33"/>
  <c r="AN31" i="33"/>
  <c r="AM31" i="33"/>
  <c r="AL31" i="33"/>
  <c r="AK31" i="33"/>
  <c r="AI31" i="33"/>
  <c r="AH31" i="33"/>
  <c r="AF31" i="33"/>
  <c r="AE31" i="33"/>
  <c r="AC31" i="33"/>
  <c r="AB31" i="33"/>
  <c r="Z31" i="33"/>
  <c r="Y31" i="33"/>
  <c r="W31" i="33"/>
  <c r="V31" i="33"/>
  <c r="T31" i="33"/>
  <c r="S31" i="33"/>
  <c r="Q31" i="33"/>
  <c r="P31" i="33"/>
  <c r="N31" i="33"/>
  <c r="M31" i="33"/>
  <c r="K31" i="33"/>
  <c r="J31" i="33"/>
  <c r="H31" i="33"/>
  <c r="G31" i="33"/>
  <c r="BL31" i="33" s="1"/>
  <c r="E31" i="33"/>
  <c r="D31" i="33"/>
  <c r="C31" i="33"/>
  <c r="B31" i="33"/>
  <c r="BJ30" i="33"/>
  <c r="BI30" i="33"/>
  <c r="BG30" i="33"/>
  <c r="BF30" i="33"/>
  <c r="BD30" i="33"/>
  <c r="BC30" i="33"/>
  <c r="BA30" i="33"/>
  <c r="AZ30" i="33"/>
  <c r="AX30" i="33"/>
  <c r="AW30" i="33"/>
  <c r="AU30" i="33"/>
  <c r="AT30" i="33"/>
  <c r="AS30" i="33"/>
  <c r="AQ30" i="33"/>
  <c r="AP30" i="33"/>
  <c r="AN30" i="33"/>
  <c r="AM30" i="33"/>
  <c r="AL30" i="33"/>
  <c r="AK30" i="33"/>
  <c r="AI30" i="33"/>
  <c r="AH30" i="33"/>
  <c r="AF30" i="33"/>
  <c r="AE30" i="33"/>
  <c r="AC30" i="33"/>
  <c r="AB30" i="33"/>
  <c r="Z30" i="33"/>
  <c r="Y30" i="33"/>
  <c r="W30" i="33"/>
  <c r="V30" i="33"/>
  <c r="T30" i="33"/>
  <c r="S30" i="33"/>
  <c r="Q30" i="33"/>
  <c r="P30" i="33"/>
  <c r="N30" i="33"/>
  <c r="M30" i="33"/>
  <c r="K30" i="33"/>
  <c r="J30" i="33"/>
  <c r="H30" i="33"/>
  <c r="G30" i="33"/>
  <c r="BL30" i="33" s="1"/>
  <c r="E30" i="33"/>
  <c r="D30" i="33"/>
  <c r="C30" i="33"/>
  <c r="B30" i="33"/>
  <c r="BJ29" i="33"/>
  <c r="BI29" i="33"/>
  <c r="BG29" i="33"/>
  <c r="BF29" i="33"/>
  <c r="BD29" i="33"/>
  <c r="BC29" i="33"/>
  <c r="BA29" i="33"/>
  <c r="AZ29" i="33"/>
  <c r="AX29" i="33"/>
  <c r="AW29" i="33"/>
  <c r="AU29" i="33"/>
  <c r="AT29" i="33"/>
  <c r="AS29" i="33"/>
  <c r="AQ29" i="33"/>
  <c r="AP29" i="33"/>
  <c r="AN29" i="33"/>
  <c r="AM29" i="33"/>
  <c r="AL29" i="33"/>
  <c r="AK29" i="33"/>
  <c r="AI29" i="33"/>
  <c r="AH29" i="33"/>
  <c r="AF29" i="33"/>
  <c r="AE29" i="33"/>
  <c r="AC29" i="33"/>
  <c r="AB29" i="33"/>
  <c r="Z29" i="33"/>
  <c r="Y29" i="33"/>
  <c r="W29" i="33"/>
  <c r="V29" i="33"/>
  <c r="T29" i="33"/>
  <c r="S29" i="33"/>
  <c r="Q29" i="33"/>
  <c r="P29" i="33"/>
  <c r="N29" i="33"/>
  <c r="M29" i="33"/>
  <c r="K29" i="33"/>
  <c r="J29" i="33"/>
  <c r="H29" i="33"/>
  <c r="G29" i="33"/>
  <c r="E29" i="33"/>
  <c r="D29" i="33"/>
  <c r="C29" i="33"/>
  <c r="B29" i="33"/>
  <c r="BJ28" i="33"/>
  <c r="BI28" i="33"/>
  <c r="BG28" i="33"/>
  <c r="BF28" i="33"/>
  <c r="BD28" i="33"/>
  <c r="BC28" i="33"/>
  <c r="BA28" i="33"/>
  <c r="AZ28" i="33"/>
  <c r="AX28" i="33"/>
  <c r="AW28" i="33"/>
  <c r="AU28" i="33"/>
  <c r="AT28" i="33"/>
  <c r="AS28" i="33"/>
  <c r="AQ28" i="33"/>
  <c r="AP28" i="33"/>
  <c r="AN28" i="33"/>
  <c r="AM28" i="33"/>
  <c r="AL28" i="33"/>
  <c r="AK28" i="33"/>
  <c r="AI28" i="33"/>
  <c r="AH28" i="33"/>
  <c r="AF28" i="33"/>
  <c r="AE28" i="33"/>
  <c r="AC28" i="33"/>
  <c r="AB28" i="33"/>
  <c r="Z28" i="33"/>
  <c r="Y28" i="33"/>
  <c r="W28" i="33"/>
  <c r="V28" i="33"/>
  <c r="T28" i="33"/>
  <c r="S28" i="33"/>
  <c r="Q28" i="33"/>
  <c r="P28" i="33"/>
  <c r="N28" i="33"/>
  <c r="M28" i="33"/>
  <c r="K28" i="33"/>
  <c r="J28" i="33"/>
  <c r="H28" i="33"/>
  <c r="G28" i="33"/>
  <c r="E28" i="33"/>
  <c r="D28" i="33"/>
  <c r="C28" i="33"/>
  <c r="B28" i="33"/>
  <c r="BJ27" i="33"/>
  <c r="BI27" i="33"/>
  <c r="BG27" i="33"/>
  <c r="BF27" i="33"/>
  <c r="BD27" i="33"/>
  <c r="BC27" i="33"/>
  <c r="BA27" i="33"/>
  <c r="AZ27" i="33"/>
  <c r="AX27" i="33"/>
  <c r="AW27" i="33"/>
  <c r="AU27" i="33"/>
  <c r="AT27" i="33"/>
  <c r="AS27" i="33"/>
  <c r="AQ27" i="33"/>
  <c r="AP27" i="33"/>
  <c r="AN27" i="33"/>
  <c r="AM27" i="33"/>
  <c r="AL27" i="33"/>
  <c r="AK27" i="33"/>
  <c r="AI27" i="33"/>
  <c r="AH27" i="33"/>
  <c r="AF27" i="33"/>
  <c r="AE27" i="33"/>
  <c r="AC27" i="33"/>
  <c r="AB27" i="33"/>
  <c r="Z27" i="33"/>
  <c r="Y27" i="33"/>
  <c r="W27" i="33"/>
  <c r="V27" i="33"/>
  <c r="T27" i="33"/>
  <c r="S27" i="33"/>
  <c r="Q27" i="33"/>
  <c r="P27" i="33"/>
  <c r="N27" i="33"/>
  <c r="M27" i="33"/>
  <c r="K27" i="33"/>
  <c r="J27" i="33"/>
  <c r="H27" i="33"/>
  <c r="G27" i="33"/>
  <c r="BL27" i="33" s="1"/>
  <c r="E27" i="33"/>
  <c r="D27" i="33"/>
  <c r="C27" i="33"/>
  <c r="B27" i="33"/>
  <c r="BJ26" i="33"/>
  <c r="BI26" i="33"/>
  <c r="BG26" i="33"/>
  <c r="BF26" i="33"/>
  <c r="BD26" i="33"/>
  <c r="BC26" i="33"/>
  <c r="BA26" i="33"/>
  <c r="AZ26" i="33"/>
  <c r="AX26" i="33"/>
  <c r="AW26" i="33"/>
  <c r="AU26" i="33"/>
  <c r="AT26" i="33"/>
  <c r="AS26" i="33"/>
  <c r="AQ26" i="33"/>
  <c r="AP26" i="33"/>
  <c r="AN26" i="33"/>
  <c r="AM26" i="33"/>
  <c r="AL26" i="33"/>
  <c r="AK26" i="33"/>
  <c r="AI26" i="33"/>
  <c r="AH26" i="33"/>
  <c r="AF26" i="33"/>
  <c r="AE26" i="33"/>
  <c r="AC26" i="33"/>
  <c r="AB26" i="33"/>
  <c r="Z26" i="33"/>
  <c r="Y26" i="33"/>
  <c r="W26" i="33"/>
  <c r="V26" i="33"/>
  <c r="T26" i="33"/>
  <c r="S26" i="33"/>
  <c r="Q26" i="33"/>
  <c r="P26" i="33"/>
  <c r="N26" i="33"/>
  <c r="M26" i="33"/>
  <c r="K26" i="33"/>
  <c r="J26" i="33"/>
  <c r="H26" i="33"/>
  <c r="G26" i="33"/>
  <c r="E26" i="33"/>
  <c r="D26" i="33"/>
  <c r="C26" i="33"/>
  <c r="B26" i="33"/>
  <c r="BJ25" i="33"/>
  <c r="BI25" i="33"/>
  <c r="BG25" i="33"/>
  <c r="BF25" i="33"/>
  <c r="BD25" i="33"/>
  <c r="BC25" i="33"/>
  <c r="BA25" i="33"/>
  <c r="AZ25" i="33"/>
  <c r="AX25" i="33"/>
  <c r="AW25" i="33"/>
  <c r="AU25" i="33"/>
  <c r="AT25" i="33"/>
  <c r="AS25" i="33"/>
  <c r="AQ25" i="33"/>
  <c r="AP25" i="33"/>
  <c r="AN25" i="33"/>
  <c r="AM25" i="33"/>
  <c r="AL25" i="33"/>
  <c r="AK25" i="33"/>
  <c r="AI25" i="33"/>
  <c r="AH25" i="33"/>
  <c r="AF25" i="33"/>
  <c r="AE25" i="33"/>
  <c r="AC25" i="33"/>
  <c r="AB25" i="33"/>
  <c r="Z25" i="33"/>
  <c r="Y25" i="33"/>
  <c r="W25" i="33"/>
  <c r="V25" i="33"/>
  <c r="T25" i="33"/>
  <c r="S25" i="33"/>
  <c r="Q25" i="33"/>
  <c r="P25" i="33"/>
  <c r="N25" i="33"/>
  <c r="M25" i="33"/>
  <c r="K25" i="33"/>
  <c r="J25" i="33"/>
  <c r="H25" i="33"/>
  <c r="G25" i="33"/>
  <c r="E25" i="33"/>
  <c r="D25" i="33"/>
  <c r="C25" i="33"/>
  <c r="B25" i="33"/>
  <c r="BJ24" i="33"/>
  <c r="BI24" i="33"/>
  <c r="BG24" i="33"/>
  <c r="BF24" i="33"/>
  <c r="BD24" i="33"/>
  <c r="BC24" i="33"/>
  <c r="BA24" i="33"/>
  <c r="AZ24" i="33"/>
  <c r="AX24" i="33"/>
  <c r="AW24" i="33"/>
  <c r="AU24" i="33"/>
  <c r="AT24" i="33"/>
  <c r="AS24" i="33"/>
  <c r="AQ24" i="33"/>
  <c r="AP24" i="33"/>
  <c r="AN24" i="33"/>
  <c r="AM24" i="33"/>
  <c r="AL24" i="33"/>
  <c r="AK24" i="33"/>
  <c r="AI24" i="33"/>
  <c r="AH24" i="33"/>
  <c r="AF24" i="33"/>
  <c r="AE24" i="33"/>
  <c r="AC24" i="33"/>
  <c r="AB24" i="33"/>
  <c r="Z24" i="33"/>
  <c r="Y24" i="33"/>
  <c r="W24" i="33"/>
  <c r="V24" i="33"/>
  <c r="T24" i="33"/>
  <c r="S24" i="33"/>
  <c r="Q24" i="33"/>
  <c r="P24" i="33"/>
  <c r="N24" i="33"/>
  <c r="M24" i="33"/>
  <c r="K24" i="33"/>
  <c r="J24" i="33"/>
  <c r="H24" i="33"/>
  <c r="G24" i="33"/>
  <c r="E24" i="33"/>
  <c r="D24" i="33"/>
  <c r="C24" i="33"/>
  <c r="B24" i="33"/>
  <c r="BJ23" i="33"/>
  <c r="BI23" i="33"/>
  <c r="BG23" i="33"/>
  <c r="BF23" i="33"/>
  <c r="BD23" i="33"/>
  <c r="BC23" i="33"/>
  <c r="BA23" i="33"/>
  <c r="AZ23" i="33"/>
  <c r="AX23" i="33"/>
  <c r="AW23" i="33"/>
  <c r="AU23" i="33"/>
  <c r="AT23" i="33"/>
  <c r="AS23" i="33"/>
  <c r="AQ23" i="33"/>
  <c r="AP23" i="33"/>
  <c r="AN23" i="33"/>
  <c r="AM23" i="33"/>
  <c r="AL23" i="33"/>
  <c r="AK23" i="33"/>
  <c r="AI23" i="33"/>
  <c r="AH23" i="33"/>
  <c r="AF23" i="33"/>
  <c r="AE23" i="33"/>
  <c r="AC23" i="33"/>
  <c r="AB23" i="33"/>
  <c r="Z23" i="33"/>
  <c r="Y23" i="33"/>
  <c r="W23" i="33"/>
  <c r="V23" i="33"/>
  <c r="T23" i="33"/>
  <c r="S23" i="33"/>
  <c r="Q23" i="33"/>
  <c r="P23" i="33"/>
  <c r="N23" i="33"/>
  <c r="M23" i="33"/>
  <c r="K23" i="33"/>
  <c r="J23" i="33"/>
  <c r="H23" i="33"/>
  <c r="G23" i="33"/>
  <c r="E23" i="33"/>
  <c r="D23" i="33"/>
  <c r="C23" i="33"/>
  <c r="B23" i="33"/>
  <c r="BJ22" i="33"/>
  <c r="BI22" i="33"/>
  <c r="BG22" i="33"/>
  <c r="BF22" i="33"/>
  <c r="BD22" i="33"/>
  <c r="BC22" i="33"/>
  <c r="BA22" i="33"/>
  <c r="AZ22" i="33"/>
  <c r="AX22" i="33"/>
  <c r="AW22" i="33"/>
  <c r="AU22" i="33"/>
  <c r="AT22" i="33"/>
  <c r="AS22" i="33"/>
  <c r="AQ22" i="33"/>
  <c r="AP22" i="33"/>
  <c r="AN22" i="33"/>
  <c r="AM22" i="33"/>
  <c r="AL22" i="33"/>
  <c r="AK22" i="33"/>
  <c r="AI22" i="33"/>
  <c r="AH22" i="33"/>
  <c r="AF22" i="33"/>
  <c r="AE22" i="33"/>
  <c r="AC22" i="33"/>
  <c r="AB22" i="33"/>
  <c r="Z22" i="33"/>
  <c r="Y22" i="33"/>
  <c r="W22" i="33"/>
  <c r="V22" i="33"/>
  <c r="T22" i="33"/>
  <c r="S22" i="33"/>
  <c r="Q22" i="33"/>
  <c r="P22" i="33"/>
  <c r="N22" i="33"/>
  <c r="M22" i="33"/>
  <c r="K22" i="33"/>
  <c r="J22" i="33"/>
  <c r="H22" i="33"/>
  <c r="G22" i="33"/>
  <c r="E22" i="33"/>
  <c r="D22" i="33"/>
  <c r="C22" i="33"/>
  <c r="B22" i="33"/>
  <c r="BJ21" i="33"/>
  <c r="BI21" i="33"/>
  <c r="BG21" i="33"/>
  <c r="BF21" i="33"/>
  <c r="BD21" i="33"/>
  <c r="BC21" i="33"/>
  <c r="BA21" i="33"/>
  <c r="AZ21" i="33"/>
  <c r="AX21" i="33"/>
  <c r="AW21" i="33"/>
  <c r="AU21" i="33"/>
  <c r="AT21" i="33"/>
  <c r="AS21" i="33"/>
  <c r="AQ21" i="33"/>
  <c r="AP21" i="33"/>
  <c r="AN21" i="33"/>
  <c r="AM21" i="33"/>
  <c r="AL21" i="33"/>
  <c r="AK21" i="33"/>
  <c r="AI21" i="33"/>
  <c r="AH21" i="33"/>
  <c r="AF21" i="33"/>
  <c r="AE21" i="33"/>
  <c r="AC21" i="33"/>
  <c r="AB21" i="33"/>
  <c r="Z21" i="33"/>
  <c r="Y21" i="33"/>
  <c r="W21" i="33"/>
  <c r="V21" i="33"/>
  <c r="T21" i="33"/>
  <c r="S21" i="33"/>
  <c r="Q21" i="33"/>
  <c r="P21" i="33"/>
  <c r="N21" i="33"/>
  <c r="M21" i="33"/>
  <c r="K21" i="33"/>
  <c r="J21" i="33"/>
  <c r="H21" i="33"/>
  <c r="G21" i="33"/>
  <c r="E21" i="33"/>
  <c r="D21" i="33"/>
  <c r="C21" i="33"/>
  <c r="B21" i="33"/>
  <c r="BJ19" i="33"/>
  <c r="BI19" i="33"/>
  <c r="BG19" i="33"/>
  <c r="BF19" i="33"/>
  <c r="BD19" i="33"/>
  <c r="BC19" i="33"/>
  <c r="BA19" i="33"/>
  <c r="AZ19" i="33"/>
  <c r="AX19" i="33"/>
  <c r="AW19" i="33"/>
  <c r="AU19" i="33"/>
  <c r="AT19" i="33"/>
  <c r="AS19" i="33"/>
  <c r="AQ19" i="33"/>
  <c r="AP19" i="33"/>
  <c r="AN19" i="33"/>
  <c r="AM19" i="33"/>
  <c r="AL19" i="33"/>
  <c r="AK19" i="33"/>
  <c r="AI19" i="33"/>
  <c r="AH19" i="33"/>
  <c r="AF19" i="33"/>
  <c r="AE19" i="33"/>
  <c r="AC19" i="33"/>
  <c r="AB19" i="33"/>
  <c r="Z19" i="33"/>
  <c r="Y19" i="33"/>
  <c r="W19" i="33"/>
  <c r="V19" i="33"/>
  <c r="T19" i="33"/>
  <c r="S19" i="33"/>
  <c r="Q19" i="33"/>
  <c r="P19" i="33"/>
  <c r="N19" i="33"/>
  <c r="M19" i="33"/>
  <c r="K19" i="33"/>
  <c r="J19" i="33"/>
  <c r="H19" i="33"/>
  <c r="G19" i="33"/>
  <c r="E19" i="33"/>
  <c r="D19" i="33"/>
  <c r="C19" i="33"/>
  <c r="B19" i="33"/>
  <c r="BJ18" i="33"/>
  <c r="BI18" i="33"/>
  <c r="BG18" i="33"/>
  <c r="BF18" i="33"/>
  <c r="BD18" i="33"/>
  <c r="BC18" i="33"/>
  <c r="BA18" i="33"/>
  <c r="AZ18" i="33"/>
  <c r="AX18" i="33"/>
  <c r="AW18" i="33"/>
  <c r="AU18" i="33"/>
  <c r="AT18" i="33"/>
  <c r="AS18" i="33"/>
  <c r="AQ18" i="33"/>
  <c r="AP18" i="33"/>
  <c r="AN18" i="33"/>
  <c r="AM18" i="33"/>
  <c r="AL18" i="33"/>
  <c r="AK18" i="33"/>
  <c r="AI18" i="33"/>
  <c r="AH18" i="33"/>
  <c r="AF18" i="33"/>
  <c r="AE18" i="33"/>
  <c r="AC18" i="33"/>
  <c r="AB18" i="33"/>
  <c r="Z18" i="33"/>
  <c r="Y18" i="33"/>
  <c r="W18" i="33"/>
  <c r="V18" i="33"/>
  <c r="T18" i="33"/>
  <c r="S18" i="33"/>
  <c r="Q18" i="33"/>
  <c r="P18" i="33"/>
  <c r="N18" i="33"/>
  <c r="M18" i="33"/>
  <c r="K18" i="33"/>
  <c r="J18" i="33"/>
  <c r="H18" i="33"/>
  <c r="G18" i="33"/>
  <c r="E18" i="33"/>
  <c r="D18" i="33"/>
  <c r="C18" i="33"/>
  <c r="B18" i="33"/>
  <c r="BJ17" i="33"/>
  <c r="BI17" i="33"/>
  <c r="BG17" i="33"/>
  <c r="BF17" i="33"/>
  <c r="BD17" i="33"/>
  <c r="BC17" i="33"/>
  <c r="BA17" i="33"/>
  <c r="AZ17" i="33"/>
  <c r="AX17" i="33"/>
  <c r="AW17" i="33"/>
  <c r="AU17" i="33"/>
  <c r="AT17" i="33"/>
  <c r="AS17" i="33"/>
  <c r="AQ17" i="33"/>
  <c r="AP17" i="33"/>
  <c r="AN17" i="33"/>
  <c r="AM17" i="33"/>
  <c r="AL17" i="33"/>
  <c r="AK17" i="33"/>
  <c r="AI17" i="33"/>
  <c r="AH17" i="33"/>
  <c r="AF17" i="33"/>
  <c r="AE17" i="33"/>
  <c r="AC17" i="33"/>
  <c r="AB17" i="33"/>
  <c r="Z17" i="33"/>
  <c r="Y17" i="33"/>
  <c r="W17" i="33"/>
  <c r="V17" i="33"/>
  <c r="T17" i="33"/>
  <c r="S17" i="33"/>
  <c r="Q17" i="33"/>
  <c r="P17" i="33"/>
  <c r="N17" i="33"/>
  <c r="M17" i="33"/>
  <c r="K17" i="33"/>
  <c r="J17" i="33"/>
  <c r="H17" i="33"/>
  <c r="G17" i="33"/>
  <c r="E17" i="33"/>
  <c r="D17" i="33"/>
  <c r="C17" i="33"/>
  <c r="B17" i="33"/>
  <c r="BJ16" i="33"/>
  <c r="BI16" i="33"/>
  <c r="BG16" i="33"/>
  <c r="BF16" i="33"/>
  <c r="BD16" i="33"/>
  <c r="BC16" i="33"/>
  <c r="BA16" i="33"/>
  <c r="AZ16" i="33"/>
  <c r="AX16" i="33"/>
  <c r="AW16" i="33"/>
  <c r="AU16" i="33"/>
  <c r="AT16" i="33"/>
  <c r="AS16" i="33"/>
  <c r="AQ16" i="33"/>
  <c r="AP16" i="33"/>
  <c r="AN16" i="33"/>
  <c r="AM16" i="33"/>
  <c r="AL16" i="33"/>
  <c r="AK16" i="33"/>
  <c r="AI16" i="33"/>
  <c r="AH16" i="33"/>
  <c r="AF16" i="33"/>
  <c r="AE16" i="33"/>
  <c r="AC16" i="33"/>
  <c r="AB16" i="33"/>
  <c r="Z16" i="33"/>
  <c r="Y16" i="33"/>
  <c r="W16" i="33"/>
  <c r="V16" i="33"/>
  <c r="T16" i="33"/>
  <c r="S16" i="33"/>
  <c r="Q16" i="33"/>
  <c r="P16" i="33"/>
  <c r="N16" i="33"/>
  <c r="M16" i="33"/>
  <c r="K16" i="33"/>
  <c r="J16" i="33"/>
  <c r="H16" i="33"/>
  <c r="G16" i="33"/>
  <c r="E16" i="33"/>
  <c r="D16" i="33"/>
  <c r="C16" i="33"/>
  <c r="B16" i="33"/>
  <c r="BJ15" i="33"/>
  <c r="BI15" i="33"/>
  <c r="BG15" i="33"/>
  <c r="BF15" i="33"/>
  <c r="BD15" i="33"/>
  <c r="BC15" i="33"/>
  <c r="BA15" i="33"/>
  <c r="AZ15" i="33"/>
  <c r="AX15" i="33"/>
  <c r="AW15" i="33"/>
  <c r="AU15" i="33"/>
  <c r="AT15" i="33"/>
  <c r="AS15" i="33"/>
  <c r="AQ15" i="33"/>
  <c r="AP15" i="33"/>
  <c r="AN15" i="33"/>
  <c r="AM15" i="33"/>
  <c r="AL15" i="33"/>
  <c r="AK15" i="33"/>
  <c r="AI15" i="33"/>
  <c r="AH15" i="33"/>
  <c r="AF15" i="33"/>
  <c r="AE15" i="33"/>
  <c r="AC15" i="33"/>
  <c r="AB15" i="33"/>
  <c r="Z15" i="33"/>
  <c r="Y15" i="33"/>
  <c r="W15" i="33"/>
  <c r="V15" i="33"/>
  <c r="T15" i="33"/>
  <c r="S15" i="33"/>
  <c r="Q15" i="33"/>
  <c r="P15" i="33"/>
  <c r="N15" i="33"/>
  <c r="M15" i="33"/>
  <c r="K15" i="33"/>
  <c r="J15" i="33"/>
  <c r="H15" i="33"/>
  <c r="G15" i="33"/>
  <c r="E15" i="33"/>
  <c r="D15" i="33"/>
  <c r="C15" i="33"/>
  <c r="B15" i="33"/>
  <c r="BJ14" i="33"/>
  <c r="BI14" i="33"/>
  <c r="BG14" i="33"/>
  <c r="BF14" i="33"/>
  <c r="BD14" i="33"/>
  <c r="BC14" i="33"/>
  <c r="BA14" i="33"/>
  <c r="AZ14" i="33"/>
  <c r="AX14" i="33"/>
  <c r="AW14" i="33"/>
  <c r="AU14" i="33"/>
  <c r="AT14" i="33"/>
  <c r="AS14" i="33"/>
  <c r="AQ14" i="33"/>
  <c r="AP14" i="33"/>
  <c r="AN14" i="33"/>
  <c r="AM14" i="33"/>
  <c r="AL14" i="33"/>
  <c r="AK14" i="33"/>
  <c r="AI14" i="33"/>
  <c r="AH14" i="33"/>
  <c r="AF14" i="33"/>
  <c r="AE14" i="33"/>
  <c r="AC14" i="33"/>
  <c r="AB14" i="33"/>
  <c r="Z14" i="33"/>
  <c r="Y14" i="33"/>
  <c r="W14" i="33"/>
  <c r="V14" i="33"/>
  <c r="T14" i="33"/>
  <c r="S14" i="33"/>
  <c r="Q14" i="33"/>
  <c r="P14" i="33"/>
  <c r="N14" i="33"/>
  <c r="M14" i="33"/>
  <c r="K14" i="33"/>
  <c r="J14" i="33"/>
  <c r="H14" i="33"/>
  <c r="G14" i="33"/>
  <c r="BL14" i="33" s="1"/>
  <c r="E14" i="33"/>
  <c r="D14" i="33"/>
  <c r="C14" i="33"/>
  <c r="B14" i="33"/>
  <c r="BJ13" i="33"/>
  <c r="BI13" i="33"/>
  <c r="BG13" i="33"/>
  <c r="BF13" i="33"/>
  <c r="BD13" i="33"/>
  <c r="BC13" i="33"/>
  <c r="BA13" i="33"/>
  <c r="AZ13" i="33"/>
  <c r="AX13" i="33"/>
  <c r="AW13" i="33"/>
  <c r="AU13" i="33"/>
  <c r="AT13" i="33"/>
  <c r="AS13" i="33"/>
  <c r="AQ13" i="33"/>
  <c r="AP13" i="33"/>
  <c r="AN13" i="33"/>
  <c r="AM13" i="33"/>
  <c r="AL13" i="33"/>
  <c r="AK13" i="33"/>
  <c r="AI13" i="33"/>
  <c r="AH13" i="33"/>
  <c r="AF13" i="33"/>
  <c r="AE13" i="33"/>
  <c r="AC13" i="33"/>
  <c r="AB13" i="33"/>
  <c r="Z13" i="33"/>
  <c r="Y13" i="33"/>
  <c r="W13" i="33"/>
  <c r="V13" i="33"/>
  <c r="T13" i="33"/>
  <c r="S13" i="33"/>
  <c r="Q13" i="33"/>
  <c r="P13" i="33"/>
  <c r="N13" i="33"/>
  <c r="M13" i="33"/>
  <c r="K13" i="33"/>
  <c r="J13" i="33"/>
  <c r="H13" i="33"/>
  <c r="G13" i="33"/>
  <c r="E13" i="33"/>
  <c r="D13" i="33"/>
  <c r="C13" i="33"/>
  <c r="B13" i="33"/>
  <c r="BJ12" i="33"/>
  <c r="BI12" i="33"/>
  <c r="BG12" i="33"/>
  <c r="BF12" i="33"/>
  <c r="BD12" i="33"/>
  <c r="BC12" i="33"/>
  <c r="BA12" i="33"/>
  <c r="AZ12" i="33"/>
  <c r="AX12" i="33"/>
  <c r="AW12" i="33"/>
  <c r="AU12" i="33"/>
  <c r="AT12" i="33"/>
  <c r="AS12" i="33"/>
  <c r="AQ12" i="33"/>
  <c r="AP12" i="33"/>
  <c r="AN12" i="33"/>
  <c r="AM12" i="33"/>
  <c r="AL12" i="33"/>
  <c r="AK12" i="33"/>
  <c r="AI12" i="33"/>
  <c r="AH12" i="33"/>
  <c r="AF12" i="33"/>
  <c r="AE12" i="33"/>
  <c r="AC12" i="33"/>
  <c r="AB12" i="33"/>
  <c r="Z12" i="33"/>
  <c r="Y12" i="33"/>
  <c r="W12" i="33"/>
  <c r="V12" i="33"/>
  <c r="T12" i="33"/>
  <c r="S12" i="33"/>
  <c r="Q12" i="33"/>
  <c r="P12" i="33"/>
  <c r="N12" i="33"/>
  <c r="M12" i="33"/>
  <c r="K12" i="33"/>
  <c r="J12" i="33"/>
  <c r="H12" i="33"/>
  <c r="G12" i="33"/>
  <c r="E12" i="33"/>
  <c r="D12" i="33"/>
  <c r="C12" i="33"/>
  <c r="B12" i="33"/>
  <c r="BJ11" i="33"/>
  <c r="BI11" i="33"/>
  <c r="BG11" i="33"/>
  <c r="BF11" i="33"/>
  <c r="BD11" i="33"/>
  <c r="BC11" i="33"/>
  <c r="BA11" i="33"/>
  <c r="AZ11" i="33"/>
  <c r="AX11" i="33"/>
  <c r="AW11" i="33"/>
  <c r="AU11" i="33"/>
  <c r="AT11" i="33"/>
  <c r="AS11" i="33"/>
  <c r="AQ11" i="33"/>
  <c r="AP11" i="33"/>
  <c r="AN11" i="33"/>
  <c r="AM11" i="33"/>
  <c r="AL11" i="33"/>
  <c r="AK11" i="33"/>
  <c r="AI11" i="33"/>
  <c r="AH11" i="33"/>
  <c r="AF11" i="33"/>
  <c r="AE11" i="33"/>
  <c r="AC11" i="33"/>
  <c r="AB11" i="33"/>
  <c r="Z11" i="33"/>
  <c r="Y11" i="33"/>
  <c r="W11" i="33"/>
  <c r="V11" i="33"/>
  <c r="T11" i="33"/>
  <c r="S11" i="33"/>
  <c r="Q11" i="33"/>
  <c r="P11" i="33"/>
  <c r="N11" i="33"/>
  <c r="M11" i="33"/>
  <c r="K11" i="33"/>
  <c r="J11" i="33"/>
  <c r="H11" i="33"/>
  <c r="G11" i="33"/>
  <c r="E11" i="33"/>
  <c r="D11" i="33"/>
  <c r="C11" i="33"/>
  <c r="B11" i="33"/>
  <c r="BJ10" i="33"/>
  <c r="BI10" i="33"/>
  <c r="BG10" i="33"/>
  <c r="BF10" i="33"/>
  <c r="BD10" i="33"/>
  <c r="BC10" i="33"/>
  <c r="BA10" i="33"/>
  <c r="AZ10" i="33"/>
  <c r="AX10" i="33"/>
  <c r="AW10" i="33"/>
  <c r="AU10" i="33"/>
  <c r="AT10" i="33"/>
  <c r="AS10" i="33"/>
  <c r="AQ10" i="33"/>
  <c r="AP10" i="33"/>
  <c r="AN10" i="33"/>
  <c r="AM10" i="33"/>
  <c r="AL10" i="33"/>
  <c r="AK10" i="33"/>
  <c r="AI10" i="33"/>
  <c r="AH10" i="33"/>
  <c r="AF10" i="33"/>
  <c r="AE10" i="33"/>
  <c r="AC10" i="33"/>
  <c r="AB10" i="33"/>
  <c r="Z10" i="33"/>
  <c r="Y10" i="33"/>
  <c r="W10" i="33"/>
  <c r="V10" i="33"/>
  <c r="T10" i="33"/>
  <c r="S10" i="33"/>
  <c r="Q10" i="33"/>
  <c r="P10" i="33"/>
  <c r="N10" i="33"/>
  <c r="M10" i="33"/>
  <c r="K10" i="33"/>
  <c r="J10" i="33"/>
  <c r="H10" i="33"/>
  <c r="G10" i="33"/>
  <c r="BL10" i="33" s="1"/>
  <c r="E10" i="33"/>
  <c r="D10" i="33"/>
  <c r="C10" i="33"/>
  <c r="B10" i="33"/>
  <c r="BJ9" i="33"/>
  <c r="BI9" i="33"/>
  <c r="BG9" i="33"/>
  <c r="BF9" i="33"/>
  <c r="BD9" i="33"/>
  <c r="BC9" i="33"/>
  <c r="BA9" i="33"/>
  <c r="AZ9" i="33"/>
  <c r="AX9" i="33"/>
  <c r="AW9" i="33"/>
  <c r="AU9" i="33"/>
  <c r="AT9" i="33"/>
  <c r="AS9" i="33"/>
  <c r="AQ9" i="33"/>
  <c r="AP9" i="33"/>
  <c r="AN9" i="33"/>
  <c r="AM9" i="33"/>
  <c r="AL9" i="33"/>
  <c r="AK9" i="33"/>
  <c r="AI9" i="33"/>
  <c r="AH9" i="33"/>
  <c r="AF9" i="33"/>
  <c r="AE9" i="33"/>
  <c r="AC9" i="33"/>
  <c r="AB9" i="33"/>
  <c r="Z9" i="33"/>
  <c r="Y9" i="33"/>
  <c r="W9" i="33"/>
  <c r="V9" i="33"/>
  <c r="T9" i="33"/>
  <c r="S9" i="33"/>
  <c r="Q9" i="33"/>
  <c r="P9" i="33"/>
  <c r="N9" i="33"/>
  <c r="M9" i="33"/>
  <c r="K9" i="33"/>
  <c r="J9" i="33"/>
  <c r="H9" i="33"/>
  <c r="G9" i="33"/>
  <c r="E9" i="33"/>
  <c r="D9" i="33"/>
  <c r="C9" i="33"/>
  <c r="B9" i="33"/>
  <c r="BJ8" i="33"/>
  <c r="BI8" i="33"/>
  <c r="BG8" i="33"/>
  <c r="BF8" i="33"/>
  <c r="BD8" i="33"/>
  <c r="BC8" i="33"/>
  <c r="BA8" i="33"/>
  <c r="AZ8" i="33"/>
  <c r="AX8" i="33"/>
  <c r="AW8" i="33"/>
  <c r="AU8" i="33"/>
  <c r="AT8" i="33"/>
  <c r="AS8" i="33"/>
  <c r="AQ8" i="33"/>
  <c r="AP8" i="33"/>
  <c r="AN8" i="33"/>
  <c r="AM8" i="33"/>
  <c r="AL8" i="33"/>
  <c r="AK8" i="33"/>
  <c r="AI8" i="33"/>
  <c r="AH8" i="33"/>
  <c r="AF8" i="33"/>
  <c r="AE8" i="33"/>
  <c r="AC8" i="33"/>
  <c r="AB8" i="33"/>
  <c r="Z8" i="33"/>
  <c r="Y8" i="33"/>
  <c r="W8" i="33"/>
  <c r="V8" i="33"/>
  <c r="T8" i="33"/>
  <c r="S8" i="33"/>
  <c r="Q8" i="33"/>
  <c r="P8" i="33"/>
  <c r="N8" i="33"/>
  <c r="M8" i="33"/>
  <c r="K8" i="33"/>
  <c r="J8" i="33"/>
  <c r="H8" i="33"/>
  <c r="G8" i="33"/>
  <c r="E8" i="33"/>
  <c r="D8" i="33"/>
  <c r="C8" i="33"/>
  <c r="B8" i="33"/>
  <c r="BJ7" i="33"/>
  <c r="BI7" i="33"/>
  <c r="BG7" i="33"/>
  <c r="BF7" i="33"/>
  <c r="BD7" i="33"/>
  <c r="BC7" i="33"/>
  <c r="BA7" i="33"/>
  <c r="AZ7" i="33"/>
  <c r="AX7" i="33"/>
  <c r="AW7" i="33"/>
  <c r="AU7" i="33"/>
  <c r="AT7" i="33"/>
  <c r="AS7" i="33"/>
  <c r="AQ7" i="33"/>
  <c r="AP7" i="33"/>
  <c r="AN7" i="33"/>
  <c r="AM7" i="33"/>
  <c r="AL7" i="33"/>
  <c r="AK7" i="33"/>
  <c r="AI7" i="33"/>
  <c r="AH7" i="33"/>
  <c r="AF7" i="33"/>
  <c r="AE7" i="33"/>
  <c r="AC7" i="33"/>
  <c r="AB7" i="33"/>
  <c r="Z7" i="33"/>
  <c r="Y7" i="33"/>
  <c r="W7" i="33"/>
  <c r="V7" i="33"/>
  <c r="T7" i="33"/>
  <c r="S7" i="33"/>
  <c r="Q7" i="33"/>
  <c r="P7" i="33"/>
  <c r="N7" i="33"/>
  <c r="M7" i="33"/>
  <c r="K7" i="33"/>
  <c r="J7" i="33"/>
  <c r="H7" i="33"/>
  <c r="G7" i="33"/>
  <c r="E7" i="33"/>
  <c r="D7" i="33"/>
  <c r="C7" i="33"/>
  <c r="B7" i="33"/>
  <c r="BJ6" i="33"/>
  <c r="BI6" i="33"/>
  <c r="BG6" i="33"/>
  <c r="BF6" i="33"/>
  <c r="BD6" i="33"/>
  <c r="BC6" i="33"/>
  <c r="BA6" i="33"/>
  <c r="AZ6" i="33"/>
  <c r="AX6" i="33"/>
  <c r="AW6" i="33"/>
  <c r="AU6" i="33"/>
  <c r="AT6" i="33"/>
  <c r="AS6" i="33"/>
  <c r="AQ6" i="33"/>
  <c r="AP6" i="33"/>
  <c r="AN6" i="33"/>
  <c r="AM6" i="33"/>
  <c r="AL6" i="33"/>
  <c r="AK6" i="33"/>
  <c r="AI6" i="33"/>
  <c r="AH6" i="33"/>
  <c r="AF6" i="33"/>
  <c r="AE6" i="33"/>
  <c r="AC6" i="33"/>
  <c r="AB6" i="33"/>
  <c r="Z6" i="33"/>
  <c r="Y6" i="33"/>
  <c r="W6" i="33"/>
  <c r="V6" i="33"/>
  <c r="T6" i="33"/>
  <c r="S6" i="33"/>
  <c r="Q6" i="33"/>
  <c r="P6" i="33"/>
  <c r="N6" i="33"/>
  <c r="M6" i="33"/>
  <c r="K6" i="33"/>
  <c r="J6" i="33"/>
  <c r="H6" i="33"/>
  <c r="G6" i="33"/>
  <c r="E6" i="33"/>
  <c r="D6" i="33"/>
  <c r="C6" i="33"/>
  <c r="B6" i="33"/>
  <c r="BJ5" i="33"/>
  <c r="BI5" i="33"/>
  <c r="BG5" i="33"/>
  <c r="BF5" i="33"/>
  <c r="BD5" i="33"/>
  <c r="BC5" i="33"/>
  <c r="BA5" i="33"/>
  <c r="AZ5" i="33"/>
  <c r="AX5" i="33"/>
  <c r="AW5" i="33"/>
  <c r="AU5" i="33"/>
  <c r="AT5" i="33"/>
  <c r="AS5" i="33"/>
  <c r="AQ5" i="33"/>
  <c r="AP5" i="33"/>
  <c r="AN5" i="33"/>
  <c r="AM5" i="33"/>
  <c r="AL5" i="33"/>
  <c r="AK5" i="33"/>
  <c r="AI5" i="33"/>
  <c r="AH5" i="33"/>
  <c r="AF5" i="33"/>
  <c r="AE5" i="33"/>
  <c r="AC5" i="33"/>
  <c r="AB5" i="33"/>
  <c r="Z5" i="33"/>
  <c r="Y5" i="33"/>
  <c r="W5" i="33"/>
  <c r="V5" i="33"/>
  <c r="T5" i="33"/>
  <c r="S5" i="33"/>
  <c r="Q5" i="33"/>
  <c r="P5" i="33"/>
  <c r="N5" i="33"/>
  <c r="M5" i="33"/>
  <c r="K5" i="33"/>
  <c r="J5" i="33"/>
  <c r="H5" i="33"/>
  <c r="G5" i="33"/>
  <c r="E5" i="33"/>
  <c r="D5" i="33"/>
  <c r="C5" i="33"/>
  <c r="B5" i="33"/>
  <c r="BL26" i="33" l="1"/>
  <c r="BL23" i="33"/>
  <c r="BL22" i="33"/>
  <c r="BM22" i="33" s="1"/>
  <c r="BL18" i="33"/>
  <c r="BL17" i="33"/>
  <c r="BL5" i="33"/>
  <c r="AA16" i="34"/>
  <c r="AA23" i="34"/>
  <c r="AA27" i="34"/>
  <c r="AA35" i="34"/>
  <c r="AA14" i="34"/>
  <c r="BL13" i="33"/>
  <c r="BM13" i="33" s="1"/>
  <c r="BL11" i="33"/>
  <c r="BM11" i="33" s="1"/>
  <c r="BL9" i="33"/>
  <c r="BL6" i="33"/>
  <c r="BL8" i="33"/>
  <c r="BM8" i="33" s="1"/>
  <c r="BL12" i="33"/>
  <c r="BM12" i="33" s="1"/>
  <c r="BL16" i="33"/>
  <c r="BL21" i="33"/>
  <c r="BL25" i="33"/>
  <c r="BL29" i="33"/>
  <c r="BM29" i="33" s="1"/>
  <c r="BL33" i="33"/>
  <c r="BL7" i="33"/>
  <c r="BM7" i="33" s="1"/>
  <c r="BL15" i="33"/>
  <c r="BL19" i="33"/>
  <c r="BM19" i="33" s="1"/>
  <c r="BL24" i="33"/>
  <c r="BM24" i="33" s="1"/>
  <c r="BL28" i="33"/>
  <c r="BM28" i="33" s="1"/>
  <c r="BL32" i="33"/>
  <c r="AA34" i="34"/>
  <c r="AA33" i="34"/>
  <c r="AA32" i="34"/>
  <c r="AA31" i="34"/>
  <c r="AA30" i="34"/>
  <c r="AA29" i="34"/>
  <c r="AA28" i="34"/>
  <c r="AA26" i="34"/>
  <c r="AA25" i="34"/>
  <c r="AA24" i="34"/>
  <c r="AA22" i="34"/>
  <c r="AA21" i="34"/>
  <c r="AA20" i="34"/>
  <c r="AA18" i="34"/>
  <c r="AA17" i="34"/>
  <c r="AA15" i="34"/>
  <c r="AA13" i="34"/>
  <c r="AA12" i="34"/>
  <c r="AA11" i="34"/>
  <c r="AA10" i="34"/>
  <c r="AA9" i="34"/>
  <c r="AA7" i="34"/>
  <c r="AA6" i="34"/>
  <c r="AA5" i="34"/>
  <c r="AA4" i="34"/>
  <c r="B36" i="28"/>
  <c r="D36" i="28" s="1"/>
  <c r="F36" i="28" s="1"/>
  <c r="B36" i="29" s="1"/>
  <c r="D36" i="29" s="1"/>
  <c r="F36" i="29" s="1"/>
  <c r="B36" i="30" s="1"/>
  <c r="D36" i="30" s="1"/>
  <c r="F36" i="30" s="1"/>
  <c r="B36" i="31" s="1"/>
  <c r="D36" i="31" s="1"/>
  <c r="F36" i="31" s="1"/>
  <c r="B35" i="32" s="1"/>
  <c r="D35" i="32" s="1"/>
  <c r="F35" i="32" s="1"/>
  <c r="I9" i="26"/>
  <c r="B9" i="27" s="1"/>
  <c r="D9" i="27" s="1"/>
  <c r="I9" i="27" s="1"/>
  <c r="B9" i="28" s="1"/>
  <c r="D9" i="28" s="1"/>
  <c r="I9" i="28" s="1"/>
  <c r="B9" i="29" s="1"/>
  <c r="D9" i="29" s="1"/>
  <c r="I9" i="29" s="1"/>
  <c r="B9" i="30" s="1"/>
  <c r="D9" i="30" s="1"/>
  <c r="I9" i="30" s="1"/>
  <c r="B9" i="31" s="1"/>
  <c r="D9" i="31" s="1"/>
  <c r="I9" i="31" s="1"/>
  <c r="B9" i="32" s="1"/>
  <c r="D9" i="32" s="1"/>
  <c r="I9" i="32" s="1"/>
  <c r="G7" i="11"/>
  <c r="H7" i="11" s="1"/>
  <c r="G7" i="12" s="1"/>
  <c r="H7" i="12" s="1"/>
  <c r="G7" i="13" s="1"/>
  <c r="H7" i="13" s="1"/>
  <c r="G7" i="14" s="1"/>
  <c r="H7" i="14" s="1"/>
  <c r="G7" i="15" s="1"/>
  <c r="H7" i="15" s="1"/>
  <c r="G7" i="16" s="1"/>
  <c r="H7" i="16" s="1"/>
  <c r="G7" i="17" s="1"/>
  <c r="H7" i="17" s="1"/>
  <c r="G7" i="18" s="1"/>
  <c r="H7" i="18" s="1"/>
  <c r="G7" i="19" s="1"/>
  <c r="H7" i="19" s="1"/>
  <c r="G7" i="20" s="1"/>
  <c r="H7" i="20" s="1"/>
  <c r="G7" i="21" s="1"/>
  <c r="G9" i="28"/>
  <c r="H9" i="28" s="1"/>
  <c r="G9" i="29" s="1"/>
  <c r="H9" i="29" s="1"/>
  <c r="G9" i="30" s="1"/>
  <c r="H9" i="30" s="1"/>
  <c r="G9" i="31" s="1"/>
  <c r="H9" i="31" s="1"/>
  <c r="D15" i="19"/>
  <c r="I15" i="19" s="1"/>
  <c r="B15" i="20" s="1"/>
  <c r="D15" i="20" s="1"/>
  <c r="I15" i="20" s="1"/>
  <c r="B15" i="21" s="1"/>
  <c r="D15" i="21" s="1"/>
  <c r="I15" i="21" s="1"/>
  <c r="B15" i="22" s="1"/>
  <c r="D15" i="22" s="1"/>
  <c r="I15" i="22" s="1"/>
  <c r="B15" i="23" s="1"/>
  <c r="D15" i="23" s="1"/>
  <c r="I15" i="23" s="1"/>
  <c r="B15" i="24" s="1"/>
  <c r="D15" i="24" s="1"/>
  <c r="I15" i="24" s="1"/>
  <c r="B15" i="25" s="1"/>
  <c r="D15" i="25" s="1"/>
  <c r="I15" i="25" s="1"/>
  <c r="B15" i="26" s="1"/>
  <c r="D15" i="26" s="1"/>
  <c r="I15" i="26" s="1"/>
  <c r="B15" i="27" s="1"/>
  <c r="D15" i="27" s="1"/>
  <c r="I15" i="27" s="1"/>
  <c r="B15" i="28" s="1"/>
  <c r="D15" i="28" s="1"/>
  <c r="I15" i="28" s="1"/>
  <c r="B15" i="29" s="1"/>
  <c r="D15" i="29" s="1"/>
  <c r="I15" i="29" s="1"/>
  <c r="B15" i="30" s="1"/>
  <c r="D15" i="30" s="1"/>
  <c r="I15" i="30" s="1"/>
  <c r="B15" i="31" s="1"/>
  <c r="D15" i="31" s="1"/>
  <c r="I15" i="31" s="1"/>
  <c r="B14" i="32" s="1"/>
  <c r="D14" i="32" s="1"/>
  <c r="I14" i="32" s="1"/>
  <c r="D14" i="19"/>
  <c r="I14" i="19" s="1"/>
  <c r="B14" i="20" s="1"/>
  <c r="D14" i="20" s="1"/>
  <c r="I14" i="20" s="1"/>
  <c r="B14" i="21" s="1"/>
  <c r="D14" i="21" s="1"/>
  <c r="I14" i="21" s="1"/>
  <c r="B14" i="22" s="1"/>
  <c r="D14" i="22" s="1"/>
  <c r="I14" i="22" s="1"/>
  <c r="B14" i="23" s="1"/>
  <c r="D14" i="23" s="1"/>
  <c r="I14" i="23" s="1"/>
  <c r="B14" i="24" s="1"/>
  <c r="D14" i="24" s="1"/>
  <c r="I14" i="24" s="1"/>
  <c r="B14" i="25" s="1"/>
  <c r="D14" i="25" s="1"/>
  <c r="I14" i="25" s="1"/>
  <c r="B14" i="26" s="1"/>
  <c r="D14" i="26" s="1"/>
  <c r="I14" i="26" s="1"/>
  <c r="B14" i="27" s="1"/>
  <c r="D14" i="27" s="1"/>
  <c r="I14" i="27" s="1"/>
  <c r="B14" i="28" s="1"/>
  <c r="D14" i="28" s="1"/>
  <c r="I14" i="28" s="1"/>
  <c r="B14" i="29" s="1"/>
  <c r="D14" i="29" s="1"/>
  <c r="I14" i="29" s="1"/>
  <c r="B14" i="30" s="1"/>
  <c r="D14" i="30" s="1"/>
  <c r="I14" i="30" s="1"/>
  <c r="B14" i="31" s="1"/>
  <c r="D14" i="31" s="1"/>
  <c r="I14" i="31" s="1"/>
  <c r="B13" i="32" s="1"/>
  <c r="D13" i="32" s="1"/>
  <c r="I13" i="32" s="1"/>
  <c r="G8" i="28"/>
  <c r="H8" i="28" s="1"/>
  <c r="G8" i="29" s="1"/>
  <c r="H8" i="29" s="1"/>
  <c r="G8" i="30" s="1"/>
  <c r="H8" i="30" s="1"/>
  <c r="G8" i="31" s="1"/>
  <c r="H8" i="31" s="1"/>
  <c r="G8" i="32" s="1"/>
  <c r="H8" i="32" s="1"/>
  <c r="J6" i="17"/>
  <c r="Q229" i="35"/>
  <c r="Q101" i="35"/>
  <c r="AO5" i="33"/>
  <c r="AY6" i="33"/>
  <c r="BK6" i="33"/>
  <c r="AV8" i="33"/>
  <c r="BH8" i="33"/>
  <c r="X9" i="33"/>
  <c r="AJ9" i="33"/>
  <c r="AO9" i="33"/>
  <c r="AY10" i="33"/>
  <c r="BE10" i="33"/>
  <c r="BK10" i="33"/>
  <c r="L11" i="33"/>
  <c r="R11" i="33"/>
  <c r="AA11" i="33"/>
  <c r="AG11" i="33"/>
  <c r="AR11" i="33"/>
  <c r="AV12" i="33"/>
  <c r="BB12" i="33"/>
  <c r="BH12" i="33"/>
  <c r="I13" i="33"/>
  <c r="O13" i="33"/>
  <c r="U13" i="33"/>
  <c r="X13" i="33"/>
  <c r="AD13" i="33"/>
  <c r="AJ13" i="33"/>
  <c r="AO13" i="33"/>
  <c r="AY14" i="33"/>
  <c r="BE14" i="33"/>
  <c r="BK14" i="33"/>
  <c r="R15" i="33"/>
  <c r="AG15" i="33"/>
  <c r="AV16" i="33"/>
  <c r="BB16" i="33"/>
  <c r="BH16" i="33"/>
  <c r="AO17" i="33"/>
  <c r="AY18" i="33"/>
  <c r="BE18" i="33"/>
  <c r="BK18" i="33"/>
  <c r="AR19" i="33"/>
  <c r="AV21" i="33"/>
  <c r="BH21" i="33"/>
  <c r="AJ22" i="33"/>
  <c r="AO22" i="33"/>
  <c r="BE23" i="33"/>
  <c r="L24" i="33"/>
  <c r="R24" i="33"/>
  <c r="AV25" i="33"/>
  <c r="BB25" i="33"/>
  <c r="BH25" i="33"/>
  <c r="AY27" i="33"/>
  <c r="BE27" i="33"/>
  <c r="BK27" i="33"/>
  <c r="AR28" i="33"/>
  <c r="AV29" i="33"/>
  <c r="BH29" i="33"/>
  <c r="AO30" i="33"/>
  <c r="AY31" i="33"/>
  <c r="BK31" i="33"/>
  <c r="AV33" i="33"/>
  <c r="BB33" i="33"/>
  <c r="BH33" i="33"/>
  <c r="AO34" i="33"/>
  <c r="AY35" i="33"/>
  <c r="BE35" i="33"/>
  <c r="BK35" i="33"/>
  <c r="AR36" i="33"/>
  <c r="I230" i="35"/>
  <c r="C231" i="35" s="1"/>
  <c r="I231" i="35" s="1"/>
  <c r="C232" i="35" s="1"/>
  <c r="I232" i="35" s="1"/>
  <c r="C233" i="35" s="1"/>
  <c r="I233" i="35" s="1"/>
  <c r="C234" i="35" s="1"/>
  <c r="I234" i="35" s="1"/>
  <c r="C235" i="35" s="1"/>
  <c r="I235" i="35" s="1"/>
  <c r="C236" i="35" s="1"/>
  <c r="I236" i="35" s="1"/>
  <c r="C237" i="35" s="1"/>
  <c r="I237" i="35" s="1"/>
  <c r="C238" i="35" s="1"/>
  <c r="I238" i="35" s="1"/>
  <c r="C239" i="35" s="1"/>
  <c r="I239" i="35" s="1"/>
  <c r="C240" i="35" s="1"/>
  <c r="I240" i="35" s="1"/>
  <c r="C241" i="35" s="1"/>
  <c r="I241" i="35" s="1"/>
  <c r="C242" i="35" s="1"/>
  <c r="I242" i="35" s="1"/>
  <c r="C243" i="35" s="1"/>
  <c r="I243" i="35" s="1"/>
  <c r="C244" i="35" s="1"/>
  <c r="I244" i="35" s="1"/>
  <c r="C245" i="35" s="1"/>
  <c r="I245" i="35" s="1"/>
  <c r="C246" i="35" s="1"/>
  <c r="I246" i="35" s="1"/>
  <c r="C247" i="35" s="1"/>
  <c r="I247" i="35" s="1"/>
  <c r="C248" i="35" s="1"/>
  <c r="I248" i="35" s="1"/>
  <c r="C249" i="35" s="1"/>
  <c r="I249" i="35" s="1"/>
  <c r="C250" i="35" s="1"/>
  <c r="I250" i="35" s="1"/>
  <c r="C251" i="35" s="1"/>
  <c r="I251" i="35" s="1"/>
  <c r="C252" i="35" s="1"/>
  <c r="I252" i="35" s="1"/>
  <c r="C253" i="35" s="1"/>
  <c r="I253" i="35" s="1"/>
  <c r="C254" i="35" s="1"/>
  <c r="I254" i="35" s="1"/>
  <c r="C255" i="35" s="1"/>
  <c r="I255" i="35" s="1"/>
  <c r="C256" i="35" s="1"/>
  <c r="I256" i="35" s="1"/>
  <c r="C257" i="35" s="1"/>
  <c r="I257" i="35" s="1"/>
  <c r="C258" i="35" s="1"/>
  <c r="I258" i="35" s="1"/>
  <c r="C259" i="35" s="1"/>
  <c r="I259" i="35" s="1"/>
  <c r="C260" i="35" s="1"/>
  <c r="I260" i="35" s="1"/>
  <c r="AA36" i="33"/>
  <c r="AG36" i="33"/>
  <c r="R36" i="33"/>
  <c r="L36" i="33"/>
  <c r="L5" i="33"/>
  <c r="BC20" i="33"/>
  <c r="AR6" i="33"/>
  <c r="AV7" i="33"/>
  <c r="AY7" i="33"/>
  <c r="BB7" i="33"/>
  <c r="BE7" i="33"/>
  <c r="BH7" i="33"/>
  <c r="BK7" i="33"/>
  <c r="AO8" i="33"/>
  <c r="AR8" i="33"/>
  <c r="AY9" i="33"/>
  <c r="BB9" i="33"/>
  <c r="BK9" i="33"/>
  <c r="U10" i="33"/>
  <c r="AD10" i="33"/>
  <c r="AO10" i="33"/>
  <c r="AV11" i="33"/>
  <c r="AY11" i="33"/>
  <c r="BB11" i="33"/>
  <c r="BE11" i="33"/>
  <c r="BH11" i="33"/>
  <c r="BK11" i="33"/>
  <c r="L12" i="33"/>
  <c r="R12" i="33"/>
  <c r="AO12" i="33"/>
  <c r="AY13" i="33"/>
  <c r="BK13" i="33"/>
  <c r="AV15" i="33"/>
  <c r="AY15" i="33"/>
  <c r="BB15" i="33"/>
  <c r="BE15" i="33"/>
  <c r="BH15" i="33"/>
  <c r="BK15" i="33"/>
  <c r="R16" i="33"/>
  <c r="AO16" i="33"/>
  <c r="AY17" i="33"/>
  <c r="BB17" i="33"/>
  <c r="BK17" i="33"/>
  <c r="AO18" i="33"/>
  <c r="AV19" i="33"/>
  <c r="AY19" i="33"/>
  <c r="BB19" i="33"/>
  <c r="BE19" i="33"/>
  <c r="BH19" i="33"/>
  <c r="BK19" i="33"/>
  <c r="AM37" i="33"/>
  <c r="AR21" i="33"/>
  <c r="AY22" i="33"/>
  <c r="BB22" i="33"/>
  <c r="BK22" i="33"/>
  <c r="X23" i="33"/>
  <c r="AO23" i="33"/>
  <c r="AV24" i="33"/>
  <c r="AY24" i="33"/>
  <c r="BB24" i="33"/>
  <c r="BE24" i="33"/>
  <c r="BH24" i="33"/>
  <c r="BK24" i="33"/>
  <c r="I25" i="33"/>
  <c r="U25" i="33"/>
  <c r="AO25" i="33"/>
  <c r="AV26" i="33"/>
  <c r="AY26" i="33"/>
  <c r="BB26" i="33"/>
  <c r="BE26" i="33"/>
  <c r="BH26" i="33"/>
  <c r="BK26" i="33"/>
  <c r="AA27" i="33"/>
  <c r="AO27" i="33"/>
  <c r="AR27" i="33"/>
  <c r="AY28" i="33"/>
  <c r="BB28" i="33"/>
  <c r="BK28" i="33"/>
  <c r="AA29" i="33"/>
  <c r="AJ29" i="33"/>
  <c r="AR29" i="33"/>
  <c r="AV30" i="33"/>
  <c r="AY30" i="33"/>
  <c r="BB30" i="33"/>
  <c r="BE30" i="33"/>
  <c r="BH30" i="33"/>
  <c r="BK30" i="33"/>
  <c r="AD31" i="33"/>
  <c r="AJ31" i="33"/>
  <c r="AO31" i="33"/>
  <c r="AR31" i="33"/>
  <c r="AV32" i="33"/>
  <c r="AY32" i="33"/>
  <c r="BB32" i="33"/>
  <c r="BE32" i="33"/>
  <c r="BH32" i="33"/>
  <c r="BK32" i="33"/>
  <c r="AO33" i="33"/>
  <c r="AR33" i="33"/>
  <c r="AV34" i="33"/>
  <c r="AY34" i="33"/>
  <c r="BB34" i="33"/>
  <c r="BE34" i="33"/>
  <c r="BH34" i="33"/>
  <c r="BK34" i="33"/>
  <c r="X35" i="33"/>
  <c r="AJ35" i="33"/>
  <c r="AO35" i="33"/>
  <c r="AV36" i="33"/>
  <c r="AY36" i="33"/>
  <c r="BB36" i="33"/>
  <c r="BE36" i="33"/>
  <c r="BH36" i="33"/>
  <c r="BK36" i="33"/>
  <c r="S19" i="34"/>
  <c r="W19" i="34"/>
  <c r="R36" i="34"/>
  <c r="V36" i="34"/>
  <c r="Z36" i="34"/>
  <c r="AA31" i="33"/>
  <c r="L31" i="33"/>
  <c r="AT20" i="33"/>
  <c r="AZ20" i="33"/>
  <c r="BF20" i="33"/>
  <c r="AG12" i="33"/>
  <c r="AR12" i="33"/>
  <c r="BB13" i="33"/>
  <c r="AO14" i="33"/>
  <c r="AR16" i="33"/>
  <c r="BM27" i="33"/>
  <c r="F35" i="33"/>
  <c r="I70" i="35"/>
  <c r="C71" i="35" s="1"/>
  <c r="I71" i="35" s="1"/>
  <c r="C72" i="35" s="1"/>
  <c r="I72" i="35" s="1"/>
  <c r="C73" i="35" s="1"/>
  <c r="I73" i="35" s="1"/>
  <c r="C74" i="35" s="1"/>
  <c r="I74" i="35" s="1"/>
  <c r="C75" i="35" s="1"/>
  <c r="I75" i="35" s="1"/>
  <c r="C76" i="35" s="1"/>
  <c r="I76" i="35" s="1"/>
  <c r="C77" i="35" s="1"/>
  <c r="I77" i="35" s="1"/>
  <c r="C78" i="35" s="1"/>
  <c r="I78" i="35" s="1"/>
  <c r="C79" i="35" s="1"/>
  <c r="I79" i="35" s="1"/>
  <c r="C80" i="35" s="1"/>
  <c r="I80" i="35" s="1"/>
  <c r="C81" i="35" s="1"/>
  <c r="I81" i="35" s="1"/>
  <c r="C82" i="35" s="1"/>
  <c r="I82" i="35" s="1"/>
  <c r="C83" i="35" s="1"/>
  <c r="I83" i="35" s="1"/>
  <c r="C84" i="35" s="1"/>
  <c r="I84" i="35" s="1"/>
  <c r="C85" i="35" s="1"/>
  <c r="I85" i="35" s="1"/>
  <c r="C86" i="35" s="1"/>
  <c r="I86" i="35" s="1"/>
  <c r="C87" i="35" s="1"/>
  <c r="I87" i="35" s="1"/>
  <c r="C88" i="35" s="1"/>
  <c r="I88" i="35" s="1"/>
  <c r="C89" i="35" s="1"/>
  <c r="I89" i="35" s="1"/>
  <c r="C90" i="35" s="1"/>
  <c r="I90" i="35" s="1"/>
  <c r="C91" i="35" s="1"/>
  <c r="I91" i="35" s="1"/>
  <c r="C92" i="35" s="1"/>
  <c r="I92" i="35" s="1"/>
  <c r="C93" i="35" s="1"/>
  <c r="I93" i="35" s="1"/>
  <c r="C94" i="35" s="1"/>
  <c r="I94" i="35" s="1"/>
  <c r="C95" i="35" s="1"/>
  <c r="I95" i="35" s="1"/>
  <c r="C96" i="35" s="1"/>
  <c r="I96" i="35" s="1"/>
  <c r="C97" i="35" s="1"/>
  <c r="I97" i="35" s="1"/>
  <c r="C98" i="35" s="1"/>
  <c r="I98" i="35" s="1"/>
  <c r="C99" i="35" s="1"/>
  <c r="I99" i="35" s="1"/>
  <c r="C100" i="35" s="1"/>
  <c r="I100" i="35" s="1"/>
  <c r="AR5" i="33"/>
  <c r="BA20" i="33"/>
  <c r="AV6" i="33"/>
  <c r="BH6" i="33"/>
  <c r="BE8" i="33"/>
  <c r="AR9" i="33"/>
  <c r="AV10" i="33"/>
  <c r="BB10" i="33"/>
  <c r="BH10" i="33"/>
  <c r="AO11" i="33"/>
  <c r="AY12" i="33"/>
  <c r="BE12" i="33"/>
  <c r="BK12" i="33"/>
  <c r="AR13" i="33"/>
  <c r="AV14" i="33"/>
  <c r="BB14" i="33"/>
  <c r="BH14" i="33"/>
  <c r="AO15" i="33"/>
  <c r="AY16" i="33"/>
  <c r="BE16" i="33"/>
  <c r="BK16" i="33"/>
  <c r="AR17" i="33"/>
  <c r="AV18" i="33"/>
  <c r="BB18" i="33"/>
  <c r="BH18" i="33"/>
  <c r="AO19" i="33"/>
  <c r="AQ37" i="33"/>
  <c r="AY21" i="33"/>
  <c r="BC37" i="33"/>
  <c r="BK21" i="33"/>
  <c r="AR22" i="33"/>
  <c r="BB23" i="33"/>
  <c r="AO24" i="33"/>
  <c r="AY25" i="33"/>
  <c r="BE25" i="33"/>
  <c r="BK25" i="33"/>
  <c r="AA26" i="33"/>
  <c r="AR26" i="33"/>
  <c r="AV27" i="33"/>
  <c r="BB27" i="33"/>
  <c r="BH27" i="33"/>
  <c r="AO28" i="33"/>
  <c r="AY29" i="33"/>
  <c r="BK29" i="33"/>
  <c r="R30" i="33"/>
  <c r="BB31" i="33"/>
  <c r="O32" i="33"/>
  <c r="AO32" i="33"/>
  <c r="AY33" i="33"/>
  <c r="BE33" i="33"/>
  <c r="BK33" i="33"/>
  <c r="L34" i="33"/>
  <c r="R34" i="33"/>
  <c r="AR34" i="33"/>
  <c r="AV35" i="33"/>
  <c r="BB35" i="33"/>
  <c r="BH35" i="33"/>
  <c r="F36" i="33"/>
  <c r="BL36" i="33"/>
  <c r="BM36" i="33" s="1"/>
  <c r="O36" i="33"/>
  <c r="U36" i="33"/>
  <c r="X36" i="33"/>
  <c r="AD36" i="33"/>
  <c r="AJ36" i="33"/>
  <c r="AO36" i="33"/>
  <c r="U36" i="34"/>
  <c r="Y36" i="34"/>
  <c r="Q69" i="35"/>
  <c r="AX20" i="33"/>
  <c r="BD20" i="33"/>
  <c r="BJ20" i="33"/>
  <c r="X8" i="33"/>
  <c r="AJ8" i="33"/>
  <c r="AR15" i="33"/>
  <c r="AN37" i="33"/>
  <c r="AZ37" i="33"/>
  <c r="AA24" i="33"/>
  <c r="AR24" i="33"/>
  <c r="AO26" i="33"/>
  <c r="T19" i="34"/>
  <c r="X19" i="34"/>
  <c r="AJ30" i="33"/>
  <c r="AD30" i="33"/>
  <c r="AV5" i="33"/>
  <c r="BH5" i="33"/>
  <c r="U5" i="33"/>
  <c r="AA5" i="33"/>
  <c r="AG5" i="33"/>
  <c r="AQ20" i="33"/>
  <c r="AR20" i="33" s="1"/>
  <c r="AS20" i="33"/>
  <c r="AU20" i="33"/>
  <c r="AY5" i="33"/>
  <c r="BE5" i="33"/>
  <c r="BG20" i="33"/>
  <c r="BK5" i="33"/>
  <c r="L6" i="33"/>
  <c r="AG6" i="33"/>
  <c r="AM20" i="33"/>
  <c r="BB6" i="33"/>
  <c r="BE6" i="33"/>
  <c r="I7" i="33"/>
  <c r="X7" i="33"/>
  <c r="AD7" i="33"/>
  <c r="AJ7" i="33"/>
  <c r="AO7" i="33"/>
  <c r="AR7" i="33"/>
  <c r="F8" i="33"/>
  <c r="L8" i="33"/>
  <c r="R8" i="33"/>
  <c r="AA8" i="33"/>
  <c r="AG8" i="33"/>
  <c r="AY8" i="33"/>
  <c r="BB8" i="33"/>
  <c r="BK8" i="33"/>
  <c r="L9" i="33"/>
  <c r="R9" i="33"/>
  <c r="AV9" i="33"/>
  <c r="BE9" i="33"/>
  <c r="BH9" i="33"/>
  <c r="AR10" i="33"/>
  <c r="O11" i="33"/>
  <c r="AJ11" i="33"/>
  <c r="R13" i="33"/>
  <c r="AA13" i="33"/>
  <c r="AV13" i="33"/>
  <c r="BE13" i="33"/>
  <c r="BH13" i="33"/>
  <c r="AA14" i="33"/>
  <c r="AR14" i="33"/>
  <c r="AV17" i="33"/>
  <c r="BE17" i="33"/>
  <c r="BH17" i="33"/>
  <c r="AR18" i="33"/>
  <c r="AD19" i="33"/>
  <c r="AU37" i="33"/>
  <c r="BD37" i="33"/>
  <c r="BG37" i="33"/>
  <c r="AV22" i="33"/>
  <c r="BE22" i="33"/>
  <c r="BH22" i="33"/>
  <c r="AR23" i="33"/>
  <c r="AS37" i="33"/>
  <c r="AX37" i="33"/>
  <c r="BA37" i="33"/>
  <c r="BJ37" i="33"/>
  <c r="O24" i="33"/>
  <c r="AJ24" i="33"/>
  <c r="AR25" i="33"/>
  <c r="AG28" i="33"/>
  <c r="AV28" i="33"/>
  <c r="BE28" i="33"/>
  <c r="BH28" i="33"/>
  <c r="AO29" i="33"/>
  <c r="BB29" i="33"/>
  <c r="BE29" i="33"/>
  <c r="AR30" i="33"/>
  <c r="AG31" i="33"/>
  <c r="AV31" i="33"/>
  <c r="BE31" i="33"/>
  <c r="BH31" i="33"/>
  <c r="L32" i="33"/>
  <c r="AR32" i="33"/>
  <c r="I33" i="33"/>
  <c r="O33" i="33"/>
  <c r="U33" i="33"/>
  <c r="X33" i="33"/>
  <c r="L35" i="33"/>
  <c r="R35" i="33"/>
  <c r="AA35" i="33"/>
  <c r="AR35" i="33"/>
  <c r="U19" i="34"/>
  <c r="Y19" i="34"/>
  <c r="T36" i="34"/>
  <c r="X36" i="34"/>
  <c r="AN20" i="33"/>
  <c r="AT37" i="33"/>
  <c r="AW37" i="33"/>
  <c r="BF37" i="33"/>
  <c r="BI37" i="33"/>
  <c r="R19" i="34"/>
  <c r="V19" i="34"/>
  <c r="Z19" i="34"/>
  <c r="S36" i="34"/>
  <c r="W36" i="34"/>
  <c r="I102" i="35"/>
  <c r="C103" i="35" s="1"/>
  <c r="I103" i="35" s="1"/>
  <c r="C104" i="35" s="1"/>
  <c r="I104" i="35" s="1"/>
  <c r="C105" i="35" s="1"/>
  <c r="I105" i="35" s="1"/>
  <c r="C106" i="35" s="1"/>
  <c r="I106" i="35" s="1"/>
  <c r="C107" i="35" s="1"/>
  <c r="I107" i="35" s="1"/>
  <c r="C108" i="35" s="1"/>
  <c r="I108" i="35" s="1"/>
  <c r="C109" i="35" s="1"/>
  <c r="I109" i="35" s="1"/>
  <c r="C110" i="35" s="1"/>
  <c r="I110" i="35" s="1"/>
  <c r="C111" i="35" s="1"/>
  <c r="I111" i="35" s="1"/>
  <c r="C112" i="35" s="1"/>
  <c r="I112" i="35" s="1"/>
  <c r="C113" i="35" s="1"/>
  <c r="I113" i="35" s="1"/>
  <c r="C114" i="35" s="1"/>
  <c r="I114" i="35" s="1"/>
  <c r="C115" i="35" s="1"/>
  <c r="I115" i="35" s="1"/>
  <c r="C116" i="35" s="1"/>
  <c r="I116" i="35" s="1"/>
  <c r="C117" i="35" s="1"/>
  <c r="I117" i="35" s="1"/>
  <c r="C118" i="35" s="1"/>
  <c r="I118" i="35" s="1"/>
  <c r="C119" i="35" s="1"/>
  <c r="I119" i="35" s="1"/>
  <c r="C120" i="35" s="1"/>
  <c r="I120" i="35" s="1"/>
  <c r="C121" i="35" s="1"/>
  <c r="I121" i="35" s="1"/>
  <c r="C122" i="35" s="1"/>
  <c r="I122" i="35" s="1"/>
  <c r="C123" i="35" s="1"/>
  <c r="I123" i="35" s="1"/>
  <c r="C124" i="35" s="1"/>
  <c r="I124" i="35" s="1"/>
  <c r="C125" i="35" s="1"/>
  <c r="I125" i="35" s="1"/>
  <c r="C126" i="35" s="1"/>
  <c r="I126" i="35" s="1"/>
  <c r="C127" i="35" s="1"/>
  <c r="I127" i="35" s="1"/>
  <c r="C128" i="35" s="1"/>
  <c r="I128" i="35" s="1"/>
  <c r="C129" i="35" s="1"/>
  <c r="I129" i="35" s="1"/>
  <c r="C130" i="35" s="1"/>
  <c r="I130" i="35" s="1"/>
  <c r="C131" i="35" s="1"/>
  <c r="I131" i="35" s="1"/>
  <c r="C132" i="35" s="1"/>
  <c r="I132" i="35" s="1"/>
  <c r="I198" i="35"/>
  <c r="C199" i="35" s="1"/>
  <c r="I199" i="35" s="1"/>
  <c r="C200" i="35" s="1"/>
  <c r="I200" i="35" s="1"/>
  <c r="C201" i="35" s="1"/>
  <c r="I201" i="35" s="1"/>
  <c r="C202" i="35" s="1"/>
  <c r="I202" i="35" s="1"/>
  <c r="C203" i="35" s="1"/>
  <c r="I203" i="35" s="1"/>
  <c r="C204" i="35" s="1"/>
  <c r="I204" i="35" s="1"/>
  <c r="C205" i="35" s="1"/>
  <c r="I205" i="35" s="1"/>
  <c r="C206" i="35" s="1"/>
  <c r="I206" i="35" s="1"/>
  <c r="C207" i="35" s="1"/>
  <c r="I207" i="35" s="1"/>
  <c r="C208" i="35" s="1"/>
  <c r="I208" i="35" s="1"/>
  <c r="C209" i="35" s="1"/>
  <c r="I209" i="35" s="1"/>
  <c r="C210" i="35" s="1"/>
  <c r="I210" i="35" s="1"/>
  <c r="C211" i="35" s="1"/>
  <c r="I211" i="35" s="1"/>
  <c r="C212" i="35" s="1"/>
  <c r="I212" i="35" s="1"/>
  <c r="C213" i="35" s="1"/>
  <c r="I213" i="35" s="1"/>
  <c r="C214" i="35" s="1"/>
  <c r="I214" i="35" s="1"/>
  <c r="C215" i="35" s="1"/>
  <c r="I215" i="35" s="1"/>
  <c r="C216" i="35" s="1"/>
  <c r="I216" i="35" s="1"/>
  <c r="C217" i="35" s="1"/>
  <c r="I217" i="35" s="1"/>
  <c r="C218" i="35" s="1"/>
  <c r="I218" i="35" s="1"/>
  <c r="C219" i="35" s="1"/>
  <c r="I219" i="35" s="1"/>
  <c r="C220" i="35" s="1"/>
  <c r="I220" i="35" s="1"/>
  <c r="C221" i="35" s="1"/>
  <c r="I221" i="35" s="1"/>
  <c r="C222" i="35" s="1"/>
  <c r="I222" i="35" s="1"/>
  <c r="C223" i="35" s="1"/>
  <c r="I223" i="35" s="1"/>
  <c r="C224" i="35" s="1"/>
  <c r="I224" i="35" s="1"/>
  <c r="C225" i="35" s="1"/>
  <c r="I225" i="35" s="1"/>
  <c r="C226" i="35" s="1"/>
  <c r="I226" i="35" s="1"/>
  <c r="C227" i="35" s="1"/>
  <c r="I227" i="35" s="1"/>
  <c r="C228" i="35" s="1"/>
  <c r="I228" i="35" s="1"/>
  <c r="I294" i="35"/>
  <c r="C295" i="35" s="1"/>
  <c r="I295" i="35" s="1"/>
  <c r="C296" i="35" s="1"/>
  <c r="I296" i="35" s="1"/>
  <c r="C297" i="35" s="1"/>
  <c r="I297" i="35" s="1"/>
  <c r="C298" i="35" s="1"/>
  <c r="I298" i="35" s="1"/>
  <c r="C299" i="35" s="1"/>
  <c r="I299" i="35" s="1"/>
  <c r="C300" i="35" s="1"/>
  <c r="I300" i="35" s="1"/>
  <c r="C301" i="35" s="1"/>
  <c r="I301" i="35" s="1"/>
  <c r="C302" i="35" s="1"/>
  <c r="I302" i="35" s="1"/>
  <c r="C303" i="35" s="1"/>
  <c r="I303" i="35" s="1"/>
  <c r="C304" i="35" s="1"/>
  <c r="I304" i="35" s="1"/>
  <c r="C305" i="35" s="1"/>
  <c r="I305" i="35" s="1"/>
  <c r="C306" i="35" s="1"/>
  <c r="I306" i="35" s="1"/>
  <c r="C307" i="35" s="1"/>
  <c r="I307" i="35" s="1"/>
  <c r="C308" i="35" s="1"/>
  <c r="I308" i="35" s="1"/>
  <c r="C309" i="35" s="1"/>
  <c r="I309" i="35" s="1"/>
  <c r="C310" i="35" s="1"/>
  <c r="I310" i="35" s="1"/>
  <c r="C311" i="35" s="1"/>
  <c r="I311" i="35" s="1"/>
  <c r="C312" i="35" s="1"/>
  <c r="I312" i="35" s="1"/>
  <c r="C313" i="35" s="1"/>
  <c r="I313" i="35" s="1"/>
  <c r="C314" i="35" s="1"/>
  <c r="I314" i="35" s="1"/>
  <c r="C315" i="35" s="1"/>
  <c r="I315" i="35" s="1"/>
  <c r="C316" i="35" s="1"/>
  <c r="I316" i="35" s="1"/>
  <c r="C317" i="35" s="1"/>
  <c r="I317" i="35" s="1"/>
  <c r="C318" i="35" s="1"/>
  <c r="I318" i="35" s="1"/>
  <c r="C319" i="35" s="1"/>
  <c r="I319" i="35" s="1"/>
  <c r="C320" i="35" s="1"/>
  <c r="I320" i="35" s="1"/>
  <c r="C321" i="35" s="1"/>
  <c r="I321" i="35" s="1"/>
  <c r="C322" i="35" s="1"/>
  <c r="I322" i="35" s="1"/>
  <c r="C323" i="35" s="1"/>
  <c r="I323" i="35" s="1"/>
  <c r="C324" i="35" s="1"/>
  <c r="I324" i="35" s="1"/>
  <c r="I326" i="35"/>
  <c r="C327" i="35" s="1"/>
  <c r="I327" i="35" s="1"/>
  <c r="C328" i="35" s="1"/>
  <c r="I328" i="35" s="1"/>
  <c r="C329" i="35" s="1"/>
  <c r="I329" i="35" s="1"/>
  <c r="C330" i="35" s="1"/>
  <c r="I330" i="35" s="1"/>
  <c r="C331" i="35" s="1"/>
  <c r="I331" i="35" s="1"/>
  <c r="C332" i="35" s="1"/>
  <c r="I332" i="35" s="1"/>
  <c r="C333" i="35" s="1"/>
  <c r="I333" i="35" s="1"/>
  <c r="C334" i="35" s="1"/>
  <c r="I334" i="35" s="1"/>
  <c r="C335" i="35" s="1"/>
  <c r="I335" i="35" s="1"/>
  <c r="C336" i="35" s="1"/>
  <c r="I336" i="35" s="1"/>
  <c r="C337" i="35" s="1"/>
  <c r="I337" i="35" s="1"/>
  <c r="C338" i="35" s="1"/>
  <c r="I338" i="35" s="1"/>
  <c r="C339" i="35" s="1"/>
  <c r="I339" i="35" s="1"/>
  <c r="C340" i="35" s="1"/>
  <c r="I340" i="35" s="1"/>
  <c r="C341" i="35" s="1"/>
  <c r="I341" i="35" s="1"/>
  <c r="C342" i="35" s="1"/>
  <c r="I342" i="35" s="1"/>
  <c r="C343" i="35" s="1"/>
  <c r="I343" i="35" s="1"/>
  <c r="C344" i="35" s="1"/>
  <c r="I344" i="35" s="1"/>
  <c r="C345" i="35" s="1"/>
  <c r="I345" i="35" s="1"/>
  <c r="C346" i="35" s="1"/>
  <c r="I346" i="35" s="1"/>
  <c r="C347" i="35" s="1"/>
  <c r="I347" i="35" s="1"/>
  <c r="C348" i="35" s="1"/>
  <c r="I348" i="35" s="1"/>
  <c r="C349" i="35" s="1"/>
  <c r="I349" i="35" s="1"/>
  <c r="C350" i="35" s="1"/>
  <c r="I350" i="35" s="1"/>
  <c r="C351" i="35" s="1"/>
  <c r="I351" i="35" s="1"/>
  <c r="C352" i="35" s="1"/>
  <c r="I352" i="35" s="1"/>
  <c r="C353" i="35" s="1"/>
  <c r="I353" i="35" s="1"/>
  <c r="C354" i="35" s="1"/>
  <c r="I354" i="35" s="1"/>
  <c r="C355" i="35" s="1"/>
  <c r="I355" i="35" s="1"/>
  <c r="C356" i="35" s="1"/>
  <c r="I356" i="35" s="1"/>
  <c r="I358" i="35"/>
  <c r="C359" i="35" s="1"/>
  <c r="I359" i="35" s="1"/>
  <c r="C360" i="35" s="1"/>
  <c r="I360" i="35" s="1"/>
  <c r="C361" i="35" s="1"/>
  <c r="I361" i="35" s="1"/>
  <c r="C362" i="35" s="1"/>
  <c r="I362" i="35" s="1"/>
  <c r="C363" i="35" s="1"/>
  <c r="I363" i="35" s="1"/>
  <c r="C364" i="35" s="1"/>
  <c r="I364" i="35" s="1"/>
  <c r="C365" i="35" s="1"/>
  <c r="I365" i="35" s="1"/>
  <c r="C366" i="35" s="1"/>
  <c r="I366" i="35" s="1"/>
  <c r="C367" i="35" s="1"/>
  <c r="I367" i="35" s="1"/>
  <c r="C368" i="35" s="1"/>
  <c r="I368" i="35" s="1"/>
  <c r="C369" i="35" s="1"/>
  <c r="I369" i="35" s="1"/>
  <c r="C370" i="35" s="1"/>
  <c r="I370" i="35" s="1"/>
  <c r="C371" i="35" s="1"/>
  <c r="I371" i="35" s="1"/>
  <c r="C372" i="35" s="1"/>
  <c r="I372" i="35" s="1"/>
  <c r="C373" i="35" s="1"/>
  <c r="I373" i="35" s="1"/>
  <c r="C374" i="35" s="1"/>
  <c r="I374" i="35" s="1"/>
  <c r="C375" i="35" s="1"/>
  <c r="I375" i="35" s="1"/>
  <c r="C376" i="35" s="1"/>
  <c r="I376" i="35" s="1"/>
  <c r="C377" i="35" s="1"/>
  <c r="I377" i="35" s="1"/>
  <c r="C378" i="35" s="1"/>
  <c r="I378" i="35" s="1"/>
  <c r="C379" i="35" s="1"/>
  <c r="I379" i="35" s="1"/>
  <c r="C380" i="35" s="1"/>
  <c r="I380" i="35" s="1"/>
  <c r="C381" i="35" s="1"/>
  <c r="I381" i="35" s="1"/>
  <c r="C382" i="35" s="1"/>
  <c r="I382" i="35" s="1"/>
  <c r="C383" i="35" s="1"/>
  <c r="I383" i="35" s="1"/>
  <c r="C384" i="35" s="1"/>
  <c r="I384" i="35" s="1"/>
  <c r="C385" i="35" s="1"/>
  <c r="I385" i="35" s="1"/>
  <c r="C386" i="35" s="1"/>
  <c r="I386" i="35" s="1"/>
  <c r="C387" i="35" s="1"/>
  <c r="I387" i="35" s="1"/>
  <c r="C388" i="35" s="1"/>
  <c r="I388" i="35" s="1"/>
  <c r="BI20" i="33"/>
  <c r="AP37" i="33"/>
  <c r="J264" i="35"/>
  <c r="Q264" i="35" s="1"/>
  <c r="J265" i="35" s="1"/>
  <c r="Q265" i="35" s="1"/>
  <c r="J266" i="35" s="1"/>
  <c r="Q266" i="35" s="1"/>
  <c r="J267" i="35" s="1"/>
  <c r="Q267" i="35" s="1"/>
  <c r="J268" i="35" s="1"/>
  <c r="Q268" i="35" s="1"/>
  <c r="J269" i="35" s="1"/>
  <c r="Q269" i="35" s="1"/>
  <c r="J270" i="35" s="1"/>
  <c r="Q270" i="35" s="1"/>
  <c r="J271" i="35" s="1"/>
  <c r="Q271" i="35" s="1"/>
  <c r="J272" i="35" s="1"/>
  <c r="Q272" i="35" s="1"/>
  <c r="J273" i="35" s="1"/>
  <c r="Q273" i="35" s="1"/>
  <c r="J274" i="35" s="1"/>
  <c r="Q274" i="35" s="1"/>
  <c r="J275" i="35" s="1"/>
  <c r="Q275" i="35" s="1"/>
  <c r="J276" i="35" s="1"/>
  <c r="Q276" i="35" s="1"/>
  <c r="J277" i="35" s="1"/>
  <c r="Q277" i="35" s="1"/>
  <c r="J278" i="35" s="1"/>
  <c r="Q278" i="35" s="1"/>
  <c r="J279" i="35" s="1"/>
  <c r="Q279" i="35" s="1"/>
  <c r="J280" i="35" s="1"/>
  <c r="Q280" i="35" s="1"/>
  <c r="J281" i="35" s="1"/>
  <c r="Q281" i="35" s="1"/>
  <c r="J282" i="35" s="1"/>
  <c r="Q282" i="35" s="1"/>
  <c r="J283" i="35" s="1"/>
  <c r="Q283" i="35" s="1"/>
  <c r="J284" i="35" s="1"/>
  <c r="Q284" i="35" s="1"/>
  <c r="J285" i="35" s="1"/>
  <c r="Q285" i="35" s="1"/>
  <c r="J286" i="35" s="1"/>
  <c r="Q286" i="35" s="1"/>
  <c r="J287" i="35" s="1"/>
  <c r="Q287" i="35" s="1"/>
  <c r="J288" i="35" s="1"/>
  <c r="Q288" i="35" s="1"/>
  <c r="J289" i="35" s="1"/>
  <c r="Q289" i="35" s="1"/>
  <c r="J290" i="35" s="1"/>
  <c r="Q290" i="35" s="1"/>
  <c r="J291" i="35" s="1"/>
  <c r="Q291" i="35" s="1"/>
  <c r="J292" i="35" s="1"/>
  <c r="Q292" i="35" s="1"/>
  <c r="AJ17" i="33"/>
  <c r="AO21" i="33"/>
  <c r="BE21" i="33"/>
  <c r="AY23" i="33"/>
  <c r="BK23" i="33"/>
  <c r="L26" i="33"/>
  <c r="X28" i="33"/>
  <c r="F29" i="33"/>
  <c r="AG29" i="33"/>
  <c r="AG33" i="33"/>
  <c r="I36" i="33"/>
  <c r="H261" i="35"/>
  <c r="AW20" i="33"/>
  <c r="J296" i="35"/>
  <c r="Q296" i="35" s="1"/>
  <c r="J297" i="35" s="1"/>
  <c r="Q297" i="35" s="1"/>
  <c r="J298" i="35" s="1"/>
  <c r="Q298" i="35" s="1"/>
  <c r="J299" i="35" s="1"/>
  <c r="Q299" i="35" s="1"/>
  <c r="J300" i="35" s="1"/>
  <c r="Q300" i="35" s="1"/>
  <c r="J301" i="35" s="1"/>
  <c r="Q301" i="35" s="1"/>
  <c r="J302" i="35" s="1"/>
  <c r="Q302" i="35" s="1"/>
  <c r="J303" i="35" s="1"/>
  <c r="Q303" i="35" s="1"/>
  <c r="J304" i="35" s="1"/>
  <c r="Q304" i="35" s="1"/>
  <c r="J305" i="35" s="1"/>
  <c r="Q305" i="35" s="1"/>
  <c r="J306" i="35" s="1"/>
  <c r="Q306" i="35" s="1"/>
  <c r="J307" i="35" s="1"/>
  <c r="Q307" i="35" s="1"/>
  <c r="J308" i="35" s="1"/>
  <c r="Q308" i="35" s="1"/>
  <c r="J309" i="35" s="1"/>
  <c r="Q309" i="35" s="1"/>
  <c r="J310" i="35" s="1"/>
  <c r="Q310" i="35" s="1"/>
  <c r="J311" i="35" s="1"/>
  <c r="Q311" i="35" s="1"/>
  <c r="J312" i="35" s="1"/>
  <c r="Q312" i="35" s="1"/>
  <c r="J313" i="35" s="1"/>
  <c r="Q313" i="35" s="1"/>
  <c r="J314" i="35" s="1"/>
  <c r="Q314" i="35" s="1"/>
  <c r="J315" i="35" s="1"/>
  <c r="Q315" i="35" s="1"/>
  <c r="J316" i="35" s="1"/>
  <c r="Q316" i="35" s="1"/>
  <c r="J317" i="35" s="1"/>
  <c r="Q317" i="35" s="1"/>
  <c r="J318" i="35" s="1"/>
  <c r="Q318" i="35" s="1"/>
  <c r="J319" i="35" s="1"/>
  <c r="Q319" i="35" s="1"/>
  <c r="J320" i="35" s="1"/>
  <c r="Q320" i="35" s="1"/>
  <c r="J321" i="35" s="1"/>
  <c r="Q321" i="35" s="1"/>
  <c r="J322" i="35" s="1"/>
  <c r="Q322" i="35" s="1"/>
  <c r="J323" i="35" s="1"/>
  <c r="Q323" i="35" s="1"/>
  <c r="J324" i="35" s="1"/>
  <c r="Q324" i="35" s="1"/>
  <c r="J327" i="35"/>
  <c r="Q327" i="35" s="1"/>
  <c r="J328" i="35" s="1"/>
  <c r="Q328" i="35" s="1"/>
  <c r="J329" i="35" s="1"/>
  <c r="Q329" i="35" s="1"/>
  <c r="J330" i="35" s="1"/>
  <c r="Q330" i="35" s="1"/>
  <c r="J331" i="35" s="1"/>
  <c r="Q331" i="35" s="1"/>
  <c r="J332" i="35" s="1"/>
  <c r="Q332" i="35" s="1"/>
  <c r="J333" i="35" s="1"/>
  <c r="Q333" i="35" s="1"/>
  <c r="J334" i="35" s="1"/>
  <c r="Q334" i="35" s="1"/>
  <c r="J335" i="35" s="1"/>
  <c r="Q335" i="35" s="1"/>
  <c r="J336" i="35" s="1"/>
  <c r="Q336" i="35" s="1"/>
  <c r="J337" i="35" s="1"/>
  <c r="Q337" i="35" s="1"/>
  <c r="J338" i="35" s="1"/>
  <c r="Q338" i="35" s="1"/>
  <c r="J339" i="35" s="1"/>
  <c r="Q339" i="35" s="1"/>
  <c r="J340" i="35" s="1"/>
  <c r="Q340" i="35" s="1"/>
  <c r="J341" i="35" s="1"/>
  <c r="Q341" i="35" s="1"/>
  <c r="J342" i="35" s="1"/>
  <c r="Q342" i="35" s="1"/>
  <c r="J343" i="35" s="1"/>
  <c r="Q343" i="35" s="1"/>
  <c r="J344" i="35" s="1"/>
  <c r="Q344" i="35" s="1"/>
  <c r="J345" i="35" s="1"/>
  <c r="Q345" i="35" s="1"/>
  <c r="J346" i="35" s="1"/>
  <c r="Q346" i="35" s="1"/>
  <c r="J347" i="35" s="1"/>
  <c r="Q347" i="35" s="1"/>
  <c r="J348" i="35" s="1"/>
  <c r="Q348" i="35" s="1"/>
  <c r="J349" i="35" s="1"/>
  <c r="Q349" i="35" s="1"/>
  <c r="J350" i="35" s="1"/>
  <c r="Q350" i="35" s="1"/>
  <c r="J351" i="35" s="1"/>
  <c r="Q351" i="35" s="1"/>
  <c r="J352" i="35" s="1"/>
  <c r="Q352" i="35" s="1"/>
  <c r="J353" i="35" s="1"/>
  <c r="Q353" i="35" s="1"/>
  <c r="J354" i="35" s="1"/>
  <c r="Q354" i="35" s="1"/>
  <c r="J355" i="35" s="1"/>
  <c r="Q355" i="35" s="1"/>
  <c r="J356" i="35" s="1"/>
  <c r="Q356" i="35" s="1"/>
  <c r="J359" i="35"/>
  <c r="Q359" i="35" s="1"/>
  <c r="J360" i="35" s="1"/>
  <c r="Q360" i="35" s="1"/>
  <c r="J361" i="35" s="1"/>
  <c r="Q361" i="35" s="1"/>
  <c r="J362" i="35" s="1"/>
  <c r="Q362" i="35" s="1"/>
  <c r="J363" i="35" s="1"/>
  <c r="Q363" i="35" s="1"/>
  <c r="J364" i="35" s="1"/>
  <c r="Q364" i="35" s="1"/>
  <c r="J365" i="35" s="1"/>
  <c r="Q365" i="35" s="1"/>
  <c r="J366" i="35" s="1"/>
  <c r="Q366" i="35" s="1"/>
  <c r="J367" i="35" s="1"/>
  <c r="Q367" i="35" s="1"/>
  <c r="J368" i="35" s="1"/>
  <c r="Q368" i="35" s="1"/>
  <c r="J369" i="35" s="1"/>
  <c r="Q369" i="35" s="1"/>
  <c r="J370" i="35" s="1"/>
  <c r="Q370" i="35" s="1"/>
  <c r="J371" i="35" s="1"/>
  <c r="Q371" i="35" s="1"/>
  <c r="J372" i="35" s="1"/>
  <c r="Q372" i="35" s="1"/>
  <c r="J373" i="35" s="1"/>
  <c r="Q373" i="35" s="1"/>
  <c r="J374" i="35" s="1"/>
  <c r="Q374" i="35" s="1"/>
  <c r="J375" i="35" s="1"/>
  <c r="Q375" i="35" s="1"/>
  <c r="J376" i="35" s="1"/>
  <c r="Q376" i="35" s="1"/>
  <c r="J377" i="35" s="1"/>
  <c r="Q377" i="35" s="1"/>
  <c r="J378" i="35" s="1"/>
  <c r="Q378" i="35" s="1"/>
  <c r="J379" i="35" s="1"/>
  <c r="Q379" i="35" s="1"/>
  <c r="J380" i="35" s="1"/>
  <c r="Q380" i="35" s="1"/>
  <c r="J381" i="35" s="1"/>
  <c r="Q381" i="35" s="1"/>
  <c r="J382" i="35" s="1"/>
  <c r="Q382" i="35" s="1"/>
  <c r="J383" i="35" s="1"/>
  <c r="Q383" i="35" s="1"/>
  <c r="J384" i="35" s="1"/>
  <c r="Q384" i="35" s="1"/>
  <c r="J385" i="35" s="1"/>
  <c r="Q385" i="35" s="1"/>
  <c r="J386" i="35" s="1"/>
  <c r="Q386" i="35" s="1"/>
  <c r="J387" i="35" s="1"/>
  <c r="Q387" i="35" s="1"/>
  <c r="J388" i="35" s="1"/>
  <c r="Q388" i="35" s="1"/>
  <c r="BB5" i="33"/>
  <c r="AO6" i="33"/>
  <c r="BM10" i="33"/>
  <c r="AD5" i="33"/>
  <c r="R7" i="33"/>
  <c r="AA7" i="33"/>
  <c r="AG7" i="33"/>
  <c r="I8" i="33"/>
  <c r="U8" i="33"/>
  <c r="AD8" i="33"/>
  <c r="AA9" i="33"/>
  <c r="AG9" i="33"/>
  <c r="X10" i="33"/>
  <c r="AJ10" i="33"/>
  <c r="I11" i="33"/>
  <c r="U11" i="33"/>
  <c r="AD11" i="33"/>
  <c r="L13" i="33"/>
  <c r="AG13" i="33"/>
  <c r="BM15" i="33"/>
  <c r="O15" i="33"/>
  <c r="X15" i="33"/>
  <c r="AJ15" i="33"/>
  <c r="R17" i="33"/>
  <c r="AG17" i="33"/>
  <c r="AD18" i="33"/>
  <c r="BB21" i="33"/>
  <c r="R22" i="33"/>
  <c r="AD23" i="33"/>
  <c r="AV23" i="33"/>
  <c r="BH23" i="33"/>
  <c r="U24" i="33"/>
  <c r="AD25" i="33"/>
  <c r="AJ25" i="33"/>
  <c r="U26" i="33"/>
  <c r="L27" i="33"/>
  <c r="AD29" i="33"/>
  <c r="L30" i="33"/>
  <c r="I31" i="33"/>
  <c r="AA34" i="33"/>
  <c r="AG34" i="33"/>
  <c r="AD35" i="33"/>
  <c r="I38" i="35"/>
  <c r="C39" i="35" s="1"/>
  <c r="I39" i="35" s="1"/>
  <c r="C40" i="35" s="1"/>
  <c r="I40" i="35" s="1"/>
  <c r="C41" i="35" s="1"/>
  <c r="I41" i="35" s="1"/>
  <c r="C42" i="35" s="1"/>
  <c r="I42" i="35" s="1"/>
  <c r="C43" i="35" s="1"/>
  <c r="I43" i="35" s="1"/>
  <c r="C44" i="35" s="1"/>
  <c r="I44" i="35" s="1"/>
  <c r="C45" i="35" s="1"/>
  <c r="I45" i="35" s="1"/>
  <c r="C46" i="35" s="1"/>
  <c r="I46" i="35" s="1"/>
  <c r="C47" i="35" s="1"/>
  <c r="I47" i="35" s="1"/>
  <c r="C48" i="35" s="1"/>
  <c r="I48" i="35" s="1"/>
  <c r="C49" i="35" s="1"/>
  <c r="I49" i="35" s="1"/>
  <c r="C50" i="35" s="1"/>
  <c r="I50" i="35" s="1"/>
  <c r="C51" i="35" s="1"/>
  <c r="I51" i="35" s="1"/>
  <c r="C52" i="35" s="1"/>
  <c r="I52" i="35" s="1"/>
  <c r="C53" i="35" s="1"/>
  <c r="I53" i="35" s="1"/>
  <c r="C54" i="35" s="1"/>
  <c r="I54" i="35" s="1"/>
  <c r="C55" i="35" s="1"/>
  <c r="I55" i="35" s="1"/>
  <c r="C56" i="35" s="1"/>
  <c r="I56" i="35" s="1"/>
  <c r="C57" i="35" s="1"/>
  <c r="I57" i="35" s="1"/>
  <c r="C58" i="35" s="1"/>
  <c r="I58" i="35" s="1"/>
  <c r="C59" i="35" s="1"/>
  <c r="I59" i="35" s="1"/>
  <c r="C60" i="35" s="1"/>
  <c r="I60" i="35" s="1"/>
  <c r="C61" i="35" s="1"/>
  <c r="I61" i="35" s="1"/>
  <c r="C62" i="35" s="1"/>
  <c r="I62" i="35" s="1"/>
  <c r="C63" i="35" s="1"/>
  <c r="I63" i="35" s="1"/>
  <c r="C64" i="35" s="1"/>
  <c r="I64" i="35" s="1"/>
  <c r="C65" i="35" s="1"/>
  <c r="I65" i="35" s="1"/>
  <c r="C66" i="35" s="1"/>
  <c r="I66" i="35" s="1"/>
  <c r="C67" i="35" s="1"/>
  <c r="I67" i="35" s="1"/>
  <c r="C68" i="35" s="1"/>
  <c r="I68" i="35" s="1"/>
  <c r="H229" i="35"/>
  <c r="H325" i="35"/>
  <c r="O6" i="33"/>
  <c r="U6" i="33"/>
  <c r="X6" i="33"/>
  <c r="AD6" i="33"/>
  <c r="AJ6" i="33"/>
  <c r="O9" i="33"/>
  <c r="U9" i="33"/>
  <c r="L10" i="33"/>
  <c r="R10" i="33"/>
  <c r="AA10" i="33"/>
  <c r="AG10" i="33"/>
  <c r="F12" i="33"/>
  <c r="O12" i="33"/>
  <c r="U12" i="33"/>
  <c r="AJ12" i="33"/>
  <c r="AD16" i="33"/>
  <c r="L18" i="33"/>
  <c r="I21" i="33"/>
  <c r="X21" i="33"/>
  <c r="AD24" i="33"/>
  <c r="AG25" i="33"/>
  <c r="O27" i="33"/>
  <c r="AD27" i="33"/>
  <c r="AJ27" i="33"/>
  <c r="AA30" i="33"/>
  <c r="AG30" i="33"/>
  <c r="O31" i="33"/>
  <c r="U31" i="33"/>
  <c r="X31" i="33"/>
  <c r="R32" i="33"/>
  <c r="AA32" i="33"/>
  <c r="AG32" i="33"/>
  <c r="U34" i="33"/>
  <c r="AD34" i="33"/>
  <c r="AJ34" i="33"/>
  <c r="Q37" i="35"/>
  <c r="H101" i="35"/>
  <c r="I134" i="35"/>
  <c r="C135" i="35" s="1"/>
  <c r="I135" i="35" s="1"/>
  <c r="C136" i="35" s="1"/>
  <c r="I136" i="35" s="1"/>
  <c r="C137" i="35" s="1"/>
  <c r="I137" i="35" s="1"/>
  <c r="C138" i="35" s="1"/>
  <c r="I138" i="35" s="1"/>
  <c r="C139" i="35" s="1"/>
  <c r="I139" i="35" s="1"/>
  <c r="C140" i="35" s="1"/>
  <c r="I140" i="35" s="1"/>
  <c r="C141" i="35" s="1"/>
  <c r="I141" i="35" s="1"/>
  <c r="C142" i="35" s="1"/>
  <c r="I142" i="35" s="1"/>
  <c r="C143" i="35" s="1"/>
  <c r="I143" i="35" s="1"/>
  <c r="C144" i="35" s="1"/>
  <c r="I144" i="35" s="1"/>
  <c r="C145" i="35" s="1"/>
  <c r="I145" i="35" s="1"/>
  <c r="C146" i="35" s="1"/>
  <c r="I146" i="35" s="1"/>
  <c r="C147" i="35" s="1"/>
  <c r="I147" i="35" s="1"/>
  <c r="C148" i="35" s="1"/>
  <c r="I148" i="35" s="1"/>
  <c r="C149" i="35" s="1"/>
  <c r="I149" i="35" s="1"/>
  <c r="C150" i="35" s="1"/>
  <c r="I150" i="35" s="1"/>
  <c r="C151" i="35" s="1"/>
  <c r="I151" i="35" s="1"/>
  <c r="C152" i="35" s="1"/>
  <c r="I152" i="35" s="1"/>
  <c r="C153" i="35" s="1"/>
  <c r="I153" i="35" s="1"/>
  <c r="C154" i="35" s="1"/>
  <c r="I154" i="35" s="1"/>
  <c r="C155" i="35" s="1"/>
  <c r="I155" i="35" s="1"/>
  <c r="C156" i="35" s="1"/>
  <c r="I156" i="35" s="1"/>
  <c r="C157" i="35" s="1"/>
  <c r="I157" i="35" s="1"/>
  <c r="C158" i="35" s="1"/>
  <c r="I158" i="35" s="1"/>
  <c r="C159" i="35" s="1"/>
  <c r="I159" i="35" s="1"/>
  <c r="C160" i="35" s="1"/>
  <c r="I160" i="35" s="1"/>
  <c r="C161" i="35" s="1"/>
  <c r="I161" i="35" s="1"/>
  <c r="C162" i="35" s="1"/>
  <c r="I162" i="35" s="1"/>
  <c r="C163" i="35" s="1"/>
  <c r="I163" i="35" s="1"/>
  <c r="C164" i="35" s="1"/>
  <c r="I164" i="35" s="1"/>
  <c r="I166" i="35"/>
  <c r="C167" i="35" s="1"/>
  <c r="I167" i="35" s="1"/>
  <c r="C168" i="35" s="1"/>
  <c r="I168" i="35" s="1"/>
  <c r="C169" i="35" s="1"/>
  <c r="I169" i="35" s="1"/>
  <c r="C170" i="35" s="1"/>
  <c r="I170" i="35" s="1"/>
  <c r="C171" i="35" s="1"/>
  <c r="I171" i="35" s="1"/>
  <c r="C172" i="35" s="1"/>
  <c r="I172" i="35" s="1"/>
  <c r="C173" i="35" s="1"/>
  <c r="I173" i="35" s="1"/>
  <c r="C174" i="35" s="1"/>
  <c r="I174" i="35" s="1"/>
  <c r="C175" i="35" s="1"/>
  <c r="I175" i="35" s="1"/>
  <c r="C176" i="35" s="1"/>
  <c r="I176" i="35" s="1"/>
  <c r="C177" i="35" s="1"/>
  <c r="I177" i="35" s="1"/>
  <c r="C178" i="35" s="1"/>
  <c r="I178" i="35" s="1"/>
  <c r="C179" i="35" s="1"/>
  <c r="I179" i="35" s="1"/>
  <c r="C180" i="35" s="1"/>
  <c r="I180" i="35" s="1"/>
  <c r="C181" i="35" s="1"/>
  <c r="I181" i="35" s="1"/>
  <c r="C182" i="35" s="1"/>
  <c r="I182" i="35" s="1"/>
  <c r="C183" i="35" s="1"/>
  <c r="I183" i="35" s="1"/>
  <c r="C184" i="35" s="1"/>
  <c r="I184" i="35" s="1"/>
  <c r="C185" i="35" s="1"/>
  <c r="I185" i="35" s="1"/>
  <c r="C186" i="35" s="1"/>
  <c r="I186" i="35" s="1"/>
  <c r="C187" i="35" s="1"/>
  <c r="I187" i="35" s="1"/>
  <c r="C188" i="35" s="1"/>
  <c r="I188" i="35" s="1"/>
  <c r="C189" i="35" s="1"/>
  <c r="I189" i="35" s="1"/>
  <c r="C190" i="35" s="1"/>
  <c r="I190" i="35" s="1"/>
  <c r="C191" i="35" s="1"/>
  <c r="I191" i="35" s="1"/>
  <c r="C192" i="35" s="1"/>
  <c r="I192" i="35" s="1"/>
  <c r="C193" i="35" s="1"/>
  <c r="I193" i="35" s="1"/>
  <c r="C194" i="35" s="1"/>
  <c r="I194" i="35" s="1"/>
  <c r="C195" i="35" s="1"/>
  <c r="I195" i="35" s="1"/>
  <c r="C196" i="35" s="1"/>
  <c r="I196" i="35" s="1"/>
  <c r="J231" i="35"/>
  <c r="Q231" i="35" s="1"/>
  <c r="J232" i="35" s="1"/>
  <c r="Q232" i="35" s="1"/>
  <c r="J233" i="35" s="1"/>
  <c r="Q233" i="35" s="1"/>
  <c r="J234" i="35" s="1"/>
  <c r="Q234" i="35" s="1"/>
  <c r="J235" i="35" s="1"/>
  <c r="Q235" i="35" s="1"/>
  <c r="J236" i="35" s="1"/>
  <c r="Q236" i="35" s="1"/>
  <c r="J237" i="35" s="1"/>
  <c r="Q237" i="35" s="1"/>
  <c r="J238" i="35" s="1"/>
  <c r="Q238" i="35" s="1"/>
  <c r="J239" i="35" s="1"/>
  <c r="Q239" i="35" s="1"/>
  <c r="J240" i="35" s="1"/>
  <c r="Q240" i="35" s="1"/>
  <c r="J241" i="35" s="1"/>
  <c r="Q241" i="35" s="1"/>
  <c r="J242" i="35" s="1"/>
  <c r="Q242" i="35" s="1"/>
  <c r="J243" i="35" s="1"/>
  <c r="Q243" i="35" s="1"/>
  <c r="J244" i="35" s="1"/>
  <c r="Q244" i="35" s="1"/>
  <c r="J245" i="35" s="1"/>
  <c r="Q245" i="35" s="1"/>
  <c r="J246" i="35" s="1"/>
  <c r="Q246" i="35" s="1"/>
  <c r="J247" i="35" s="1"/>
  <c r="Q247" i="35" s="1"/>
  <c r="J248" i="35" s="1"/>
  <c r="Q248" i="35" s="1"/>
  <c r="J249" i="35" s="1"/>
  <c r="Q249" i="35" s="1"/>
  <c r="J250" i="35" s="1"/>
  <c r="Q250" i="35" s="1"/>
  <c r="J251" i="35" s="1"/>
  <c r="Q251" i="35" s="1"/>
  <c r="J252" i="35" s="1"/>
  <c r="Q252" i="35" s="1"/>
  <c r="J253" i="35" s="1"/>
  <c r="Q253" i="35" s="1"/>
  <c r="J254" i="35" s="1"/>
  <c r="Q254" i="35" s="1"/>
  <c r="J255" i="35" s="1"/>
  <c r="Q255" i="35" s="1"/>
  <c r="J256" i="35" s="1"/>
  <c r="Q256" i="35" s="1"/>
  <c r="J257" i="35" s="1"/>
  <c r="Q257" i="35" s="1"/>
  <c r="J258" i="35" s="1"/>
  <c r="Q258" i="35" s="1"/>
  <c r="J259" i="35" s="1"/>
  <c r="Q259" i="35" s="1"/>
  <c r="J260" i="35" s="1"/>
  <c r="Q260" i="35" s="1"/>
  <c r="I262" i="35"/>
  <c r="C263" i="35" s="1"/>
  <c r="I263" i="35" s="1"/>
  <c r="C264" i="35" s="1"/>
  <c r="I264" i="35" s="1"/>
  <c r="C265" i="35" s="1"/>
  <c r="I265" i="35" s="1"/>
  <c r="C266" i="35" s="1"/>
  <c r="I266" i="35" s="1"/>
  <c r="C267" i="35" s="1"/>
  <c r="I267" i="35" s="1"/>
  <c r="C268" i="35" s="1"/>
  <c r="I268" i="35" s="1"/>
  <c r="C269" i="35" s="1"/>
  <c r="I269" i="35" s="1"/>
  <c r="C270" i="35" s="1"/>
  <c r="I270" i="35" s="1"/>
  <c r="C271" i="35" s="1"/>
  <c r="I271" i="35" s="1"/>
  <c r="C272" i="35" s="1"/>
  <c r="I272" i="35" s="1"/>
  <c r="C273" i="35" s="1"/>
  <c r="I273" i="35" s="1"/>
  <c r="C274" i="35" s="1"/>
  <c r="I274" i="35" s="1"/>
  <c r="C275" i="35" s="1"/>
  <c r="I275" i="35" s="1"/>
  <c r="C276" i="35" s="1"/>
  <c r="I276" i="35" s="1"/>
  <c r="C277" i="35" s="1"/>
  <c r="I277" i="35" s="1"/>
  <c r="C278" i="35" s="1"/>
  <c r="I278" i="35" s="1"/>
  <c r="C279" i="35" s="1"/>
  <c r="I279" i="35" s="1"/>
  <c r="C280" i="35" s="1"/>
  <c r="I280" i="35" s="1"/>
  <c r="C281" i="35" s="1"/>
  <c r="I281" i="35" s="1"/>
  <c r="C282" i="35" s="1"/>
  <c r="I282" i="35" s="1"/>
  <c r="C283" i="35" s="1"/>
  <c r="I283" i="35" s="1"/>
  <c r="C284" i="35" s="1"/>
  <c r="I284" i="35" s="1"/>
  <c r="C285" i="35" s="1"/>
  <c r="I285" i="35" s="1"/>
  <c r="C286" i="35" s="1"/>
  <c r="I286" i="35" s="1"/>
  <c r="C287" i="35" s="1"/>
  <c r="I287" i="35" s="1"/>
  <c r="C288" i="35" s="1"/>
  <c r="I288" i="35" s="1"/>
  <c r="C289" i="35" s="1"/>
  <c r="I289" i="35" s="1"/>
  <c r="C290" i="35" s="1"/>
  <c r="I290" i="35" s="1"/>
  <c r="C291" i="35" s="1"/>
  <c r="I291" i="35" s="1"/>
  <c r="C292" i="35" s="1"/>
  <c r="I292" i="35" s="1"/>
  <c r="AJ23" i="33"/>
  <c r="O23" i="33"/>
  <c r="F23" i="33"/>
  <c r="AG22" i="33"/>
  <c r="AD22" i="33"/>
  <c r="U22" i="33"/>
  <c r="I22" i="33"/>
  <c r="H293" i="35"/>
  <c r="AA18" i="33"/>
  <c r="AJ18" i="33"/>
  <c r="X18" i="33"/>
  <c r="U18" i="33"/>
  <c r="X17" i="33"/>
  <c r="AD15" i="33"/>
  <c r="U15" i="33"/>
  <c r="AA15" i="33"/>
  <c r="L15" i="33"/>
  <c r="I15" i="33"/>
  <c r="F15" i="33"/>
  <c r="AJ14" i="33"/>
  <c r="R14" i="33"/>
  <c r="AG14" i="33"/>
  <c r="AD14" i="33"/>
  <c r="X14" i="33"/>
  <c r="U14" i="33"/>
  <c r="O14" i="33"/>
  <c r="L14" i="33"/>
  <c r="I14" i="33"/>
  <c r="F14" i="33"/>
  <c r="F13" i="33"/>
  <c r="AD12" i="33"/>
  <c r="I12" i="33"/>
  <c r="X12" i="33"/>
  <c r="AA12" i="33"/>
  <c r="X11" i="33"/>
  <c r="F11" i="33"/>
  <c r="O10" i="33"/>
  <c r="F10" i="33"/>
  <c r="BM9" i="33"/>
  <c r="AD9" i="33"/>
  <c r="F9" i="33"/>
  <c r="O8" i="33"/>
  <c r="O7" i="33"/>
  <c r="L7" i="33"/>
  <c r="U7" i="33"/>
  <c r="F7" i="33"/>
  <c r="I6" i="33"/>
  <c r="AA6" i="33"/>
  <c r="R6" i="33"/>
  <c r="H197" i="35"/>
  <c r="F6" i="33"/>
  <c r="H133" i="35"/>
  <c r="AJ5" i="33"/>
  <c r="X5" i="33"/>
  <c r="O5" i="33"/>
  <c r="R5" i="33"/>
  <c r="I5" i="33"/>
  <c r="F5" i="33"/>
  <c r="O35" i="33"/>
  <c r="X34" i="33"/>
  <c r="O34" i="33"/>
  <c r="R33" i="33"/>
  <c r="AA33" i="33"/>
  <c r="O30" i="33"/>
  <c r="O29" i="33"/>
  <c r="U29" i="33"/>
  <c r="L29" i="33"/>
  <c r="R29" i="33"/>
  <c r="AA28" i="33"/>
  <c r="I28" i="33"/>
  <c r="U28" i="33"/>
  <c r="AD28" i="33"/>
  <c r="AJ28" i="33"/>
  <c r="I27" i="33"/>
  <c r="U27" i="33"/>
  <c r="R26" i="33"/>
  <c r="AG24" i="33"/>
  <c r="X24" i="33"/>
  <c r="I24" i="33"/>
  <c r="AG23" i="33"/>
  <c r="L23" i="33"/>
  <c r="X22" i="33"/>
  <c r="AA21" i="33"/>
  <c r="AJ19" i="33"/>
  <c r="R19" i="33"/>
  <c r="U19" i="33"/>
  <c r="R18" i="33"/>
  <c r="L16" i="33"/>
  <c r="BM14" i="33"/>
  <c r="I10" i="33"/>
  <c r="I9" i="33"/>
  <c r="BM6" i="33"/>
  <c r="AK20" i="33"/>
  <c r="H165" i="35"/>
  <c r="I6" i="35"/>
  <c r="C7" i="35" s="1"/>
  <c r="I7" i="35" s="1"/>
  <c r="C8" i="35" s="1"/>
  <c r="I8" i="35" s="1"/>
  <c r="C9" i="35" s="1"/>
  <c r="I9" i="35" s="1"/>
  <c r="C10" i="35" s="1"/>
  <c r="I10" i="35" s="1"/>
  <c r="C11" i="35" s="1"/>
  <c r="I11" i="35" s="1"/>
  <c r="C12" i="35" s="1"/>
  <c r="I12" i="35" s="1"/>
  <c r="C13" i="35" s="1"/>
  <c r="I13" i="35" s="1"/>
  <c r="C14" i="35" s="1"/>
  <c r="I14" i="35" s="1"/>
  <c r="C15" i="35" s="1"/>
  <c r="I15" i="35" s="1"/>
  <c r="C16" i="35" s="1"/>
  <c r="I16" i="35" s="1"/>
  <c r="C17" i="35" s="1"/>
  <c r="I17" i="35" s="1"/>
  <c r="C18" i="35" s="1"/>
  <c r="I18" i="35" s="1"/>
  <c r="C19" i="35" s="1"/>
  <c r="I19" i="35" s="1"/>
  <c r="C20" i="35" s="1"/>
  <c r="I20" i="35" s="1"/>
  <c r="C21" i="35" s="1"/>
  <c r="I21" i="35" s="1"/>
  <c r="C22" i="35" s="1"/>
  <c r="I22" i="35" s="1"/>
  <c r="C23" i="35" s="1"/>
  <c r="I23" i="35" s="1"/>
  <c r="C24" i="35" s="1"/>
  <c r="I24" i="35" s="1"/>
  <c r="C25" i="35" s="1"/>
  <c r="I25" i="35" s="1"/>
  <c r="C26" i="35" s="1"/>
  <c r="I26" i="35" s="1"/>
  <c r="C27" i="35" s="1"/>
  <c r="I27" i="35" s="1"/>
  <c r="C28" i="35" s="1"/>
  <c r="I28" i="35" s="1"/>
  <c r="C29" i="35" s="1"/>
  <c r="I29" i="35" s="1"/>
  <c r="C30" i="35" s="1"/>
  <c r="I30" i="35" s="1"/>
  <c r="C31" i="35" s="1"/>
  <c r="I31" i="35" s="1"/>
  <c r="C32" i="35" s="1"/>
  <c r="I32" i="35" s="1"/>
  <c r="C33" i="35" s="1"/>
  <c r="I33" i="35" s="1"/>
  <c r="C34" i="35" s="1"/>
  <c r="I34" i="35" s="1"/>
  <c r="C35" i="35" s="1"/>
  <c r="I35" i="35" s="1"/>
  <c r="C36" i="35" s="1"/>
  <c r="I36" i="35" s="1"/>
  <c r="H37" i="35"/>
  <c r="D4" i="34"/>
  <c r="G30" i="1"/>
  <c r="B30" i="3" s="1"/>
  <c r="D30" i="3" s="1"/>
  <c r="G30" i="3" s="1"/>
  <c r="B30" i="4" s="1"/>
  <c r="D30" i="4" s="1"/>
  <c r="G30" i="4" s="1"/>
  <c r="B30" i="5" s="1"/>
  <c r="D30" i="5" s="1"/>
  <c r="G30" i="5" s="1"/>
  <c r="B31" i="6" s="1"/>
  <c r="D31" i="6" s="1"/>
  <c r="G31" i="6" s="1"/>
  <c r="B30" i="7" s="1"/>
  <c r="D30" i="7" s="1"/>
  <c r="G30" i="7" s="1"/>
  <c r="B31" i="8" s="1"/>
  <c r="D31" i="8" s="1"/>
  <c r="G31" i="8" s="1"/>
  <c r="B31" i="9" s="1"/>
  <c r="D31" i="9" s="1"/>
  <c r="G31" i="9" s="1"/>
  <c r="B31" i="10" s="1"/>
  <c r="D31" i="10" s="1"/>
  <c r="G31" i="10" s="1"/>
  <c r="B31" i="11" s="1"/>
  <c r="D31" i="11" s="1"/>
  <c r="G31" i="11" s="1"/>
  <c r="B31" i="12" s="1"/>
  <c r="D31" i="12" s="1"/>
  <c r="G31" i="12" s="1"/>
  <c r="B31" i="13" s="1"/>
  <c r="D31" i="13" s="1"/>
  <c r="G31" i="13" s="1"/>
  <c r="B31" i="14" s="1"/>
  <c r="D31" i="14" s="1"/>
  <c r="G31" i="14" s="1"/>
  <c r="B31" i="15" s="1"/>
  <c r="D31" i="15" s="1"/>
  <c r="G31" i="15" s="1"/>
  <c r="B31" i="16" s="1"/>
  <c r="D31" i="16" s="1"/>
  <c r="G31" i="16" s="1"/>
  <c r="B31" i="17" s="1"/>
  <c r="D31" i="17" s="1"/>
  <c r="G31" i="17" s="1"/>
  <c r="B31" i="18" s="1"/>
  <c r="D31" i="18" s="1"/>
  <c r="G31" i="18" s="1"/>
  <c r="B31" i="19" s="1"/>
  <c r="D31" i="19" s="1"/>
  <c r="G31" i="19" s="1"/>
  <c r="B31" i="20" s="1"/>
  <c r="D31" i="20" s="1"/>
  <c r="G31" i="20" s="1"/>
  <c r="B31" i="21" s="1"/>
  <c r="D31" i="21" s="1"/>
  <c r="G31" i="21" s="1"/>
  <c r="B31" i="22" s="1"/>
  <c r="D31" i="22" s="1"/>
  <c r="G31" i="22" s="1"/>
  <c r="B31" i="23" s="1"/>
  <c r="D31" i="23" s="1"/>
  <c r="G31" i="23" s="1"/>
  <c r="B31" i="24" s="1"/>
  <c r="D31" i="24" s="1"/>
  <c r="G31" i="24" s="1"/>
  <c r="B31" i="25" s="1"/>
  <c r="D31" i="25" s="1"/>
  <c r="G31" i="25" s="1"/>
  <c r="B31" i="26" s="1"/>
  <c r="D31" i="26" s="1"/>
  <c r="G31" i="26" s="1"/>
  <c r="B31" i="27" s="1"/>
  <c r="D31" i="27" s="1"/>
  <c r="G31" i="27" s="1"/>
  <c r="B31" i="28" s="1"/>
  <c r="D31" i="28" s="1"/>
  <c r="G31" i="28" s="1"/>
  <c r="B31" i="29" s="1"/>
  <c r="D31" i="29" s="1"/>
  <c r="G31" i="29" s="1"/>
  <c r="B31" i="30" s="1"/>
  <c r="D31" i="30" s="1"/>
  <c r="G31" i="30" s="1"/>
  <c r="B31" i="31" s="1"/>
  <c r="D31" i="31" s="1"/>
  <c r="G31" i="31" s="1"/>
  <c r="B30" i="32" s="1"/>
  <c r="D30" i="32" s="1"/>
  <c r="G30" i="32" s="1"/>
  <c r="D27" i="1"/>
  <c r="H20" i="33"/>
  <c r="BM5" i="33"/>
  <c r="G20" i="33"/>
  <c r="S20" i="33"/>
  <c r="AB20" i="33"/>
  <c r="AC20" i="33"/>
  <c r="Q20" i="33"/>
  <c r="B6" i="3"/>
  <c r="D6" i="3" s="1"/>
  <c r="I27" i="1"/>
  <c r="N19" i="34"/>
  <c r="J19" i="34"/>
  <c r="AG35" i="33"/>
  <c r="U35" i="33"/>
  <c r="BL35" i="33"/>
  <c r="BM35" i="33" s="1"/>
  <c r="I35" i="33"/>
  <c r="H357" i="35"/>
  <c r="I34" i="33"/>
  <c r="BM34" i="33"/>
  <c r="F34" i="33"/>
  <c r="L33" i="33"/>
  <c r="BM33" i="33"/>
  <c r="AD33" i="33"/>
  <c r="AJ33" i="33"/>
  <c r="F33" i="33"/>
  <c r="U32" i="33"/>
  <c r="BM32" i="33"/>
  <c r="X32" i="33"/>
  <c r="AD32" i="33"/>
  <c r="AJ32" i="33"/>
  <c r="I32" i="33"/>
  <c r="F32" i="33"/>
  <c r="R31" i="33"/>
  <c r="BM31" i="33"/>
  <c r="F31" i="33"/>
  <c r="X30" i="33"/>
  <c r="U30" i="33"/>
  <c r="BM30" i="33"/>
  <c r="I30" i="33"/>
  <c r="F30" i="33"/>
  <c r="I29" i="33"/>
  <c r="X29" i="33"/>
  <c r="O28" i="33"/>
  <c r="R28" i="33"/>
  <c r="L28" i="33"/>
  <c r="F28" i="33"/>
  <c r="T37" i="33"/>
  <c r="X27" i="33"/>
  <c r="AG27" i="33"/>
  <c r="AB37" i="33"/>
  <c r="R27" i="33"/>
  <c r="F27" i="33"/>
  <c r="H389" i="35"/>
  <c r="AJ26" i="33"/>
  <c r="AH37" i="33"/>
  <c r="AG26" i="33"/>
  <c r="AD26" i="33"/>
  <c r="V37" i="33"/>
  <c r="X26" i="33"/>
  <c r="BM26" i="33"/>
  <c r="O26" i="33"/>
  <c r="I26" i="33"/>
  <c r="F26" i="33"/>
  <c r="O25" i="33"/>
  <c r="C36" i="34"/>
  <c r="W37" i="33"/>
  <c r="AI37" i="33"/>
  <c r="F24" i="33"/>
  <c r="N36" i="34"/>
  <c r="M36" i="34"/>
  <c r="BM25" i="33"/>
  <c r="L25" i="33"/>
  <c r="R25" i="33"/>
  <c r="AA25" i="33"/>
  <c r="AE37" i="33"/>
  <c r="AK37" i="33"/>
  <c r="AL37" i="33"/>
  <c r="X25" i="33"/>
  <c r="Q37" i="33"/>
  <c r="F25" i="33"/>
  <c r="R23" i="33"/>
  <c r="S37" i="33"/>
  <c r="U23" i="33"/>
  <c r="Q36" i="34"/>
  <c r="H36" i="34"/>
  <c r="BM23" i="33"/>
  <c r="I23" i="33"/>
  <c r="AA23" i="33"/>
  <c r="AF37" i="33"/>
  <c r="AC37" i="33"/>
  <c r="H37" i="33"/>
  <c r="J37" i="33"/>
  <c r="L22" i="33"/>
  <c r="M37" i="33"/>
  <c r="O22" i="33"/>
  <c r="P37" i="33"/>
  <c r="Y37" i="33"/>
  <c r="AA22" i="33"/>
  <c r="K37" i="33"/>
  <c r="P36" i="34"/>
  <c r="O36" i="34"/>
  <c r="L36" i="34"/>
  <c r="K36" i="34"/>
  <c r="J36" i="34"/>
  <c r="I36" i="34"/>
  <c r="F36" i="34"/>
  <c r="E37" i="33"/>
  <c r="D37" i="33"/>
  <c r="C37" i="33"/>
  <c r="F22" i="33"/>
  <c r="B37" i="33"/>
  <c r="Z37" i="33"/>
  <c r="U21" i="33"/>
  <c r="AG21" i="33"/>
  <c r="AD21" i="33"/>
  <c r="G37" i="33"/>
  <c r="AJ21" i="33"/>
  <c r="R21" i="33"/>
  <c r="O21" i="33"/>
  <c r="N37" i="33"/>
  <c r="G36" i="34"/>
  <c r="L21" i="33"/>
  <c r="F21" i="33"/>
  <c r="F19" i="33"/>
  <c r="C19" i="34"/>
  <c r="AG19" i="33"/>
  <c r="Y20" i="33"/>
  <c r="AA19" i="33"/>
  <c r="L19" i="34"/>
  <c r="O19" i="33"/>
  <c r="L19" i="33"/>
  <c r="I19" i="33"/>
  <c r="V20" i="33"/>
  <c r="X19" i="33"/>
  <c r="AF20" i="33"/>
  <c r="G19" i="34"/>
  <c r="AH20" i="33"/>
  <c r="AE20" i="33"/>
  <c r="AG18" i="33"/>
  <c r="O18" i="33"/>
  <c r="Z20" i="33"/>
  <c r="J20" i="33"/>
  <c r="BM18" i="33"/>
  <c r="I18" i="33"/>
  <c r="K19" i="34"/>
  <c r="O19" i="34"/>
  <c r="H19" i="34"/>
  <c r="E20" i="33"/>
  <c r="D20" i="33"/>
  <c r="F16" i="33"/>
  <c r="C20" i="33"/>
  <c r="F18" i="33"/>
  <c r="F17" i="33"/>
  <c r="B20" i="33"/>
  <c r="H69" i="35"/>
  <c r="AA17" i="33"/>
  <c r="U17" i="33"/>
  <c r="M20" i="33"/>
  <c r="O17" i="33"/>
  <c r="BM17" i="33"/>
  <c r="L17" i="33"/>
  <c r="I17" i="33"/>
  <c r="AL20" i="33"/>
  <c r="Q19" i="34"/>
  <c r="P19" i="34"/>
  <c r="M19" i="34"/>
  <c r="I19" i="34"/>
  <c r="W20" i="33"/>
  <c r="AI20" i="33"/>
  <c r="AD17" i="33"/>
  <c r="T20" i="33"/>
  <c r="AA16" i="33"/>
  <c r="X16" i="33"/>
  <c r="AJ16" i="33"/>
  <c r="AG16" i="33"/>
  <c r="U16" i="33"/>
  <c r="O16" i="33"/>
  <c r="N20" i="33"/>
  <c r="P20" i="33"/>
  <c r="K20" i="33"/>
  <c r="I16" i="33"/>
  <c r="F19" i="34"/>
  <c r="AA36" i="34" l="1"/>
  <c r="AT38" i="33"/>
  <c r="AA19" i="34"/>
  <c r="G9" i="32"/>
  <c r="H9" i="32" s="1"/>
  <c r="H7" i="21"/>
  <c r="G7" i="22" s="1"/>
  <c r="H7" i="22" s="1"/>
  <c r="G7" i="23" s="1"/>
  <c r="H7" i="23" s="1"/>
  <c r="G7" i="24" s="1"/>
  <c r="H7" i="24" s="1"/>
  <c r="G7" i="25" s="1"/>
  <c r="H7" i="25" s="1"/>
  <c r="G7" i="26" s="1"/>
  <c r="H7" i="26" s="1"/>
  <c r="G7" i="27" s="1"/>
  <c r="H7" i="27" s="1"/>
  <c r="G7" i="28" s="1"/>
  <c r="H7" i="28" s="1"/>
  <c r="G7" i="29" s="1"/>
  <c r="H7" i="29" s="1"/>
  <c r="G7" i="30" s="1"/>
  <c r="H7" i="30" s="1"/>
  <c r="G7" i="31" s="1"/>
  <c r="H7" i="31" s="1"/>
  <c r="G7" i="32" s="1"/>
  <c r="H7" i="32" s="1"/>
  <c r="BA38" i="33"/>
  <c r="BK37" i="33"/>
  <c r="BK38" i="33" s="1"/>
  <c r="Y37" i="34"/>
  <c r="BH20" i="33"/>
  <c r="BE37" i="33"/>
  <c r="BE38" i="33" s="1"/>
  <c r="AO37" i="33"/>
  <c r="AN38" i="33"/>
  <c r="AZ38" i="33"/>
  <c r="BH37" i="33"/>
  <c r="BH38" i="33" s="1"/>
  <c r="BJ38" i="33"/>
  <c r="W37" i="34"/>
  <c r="BG38" i="33"/>
  <c r="AO20" i="33"/>
  <c r="AU38" i="33"/>
  <c r="BB20" i="33"/>
  <c r="BE20" i="33"/>
  <c r="BC38" i="33"/>
  <c r="BK20" i="33"/>
  <c r="AY37" i="33"/>
  <c r="AY38" i="33" s="1"/>
  <c r="AV20" i="33"/>
  <c r="BF38" i="33"/>
  <c r="X37" i="34"/>
  <c r="V37" i="34"/>
  <c r="AM38" i="33"/>
  <c r="T37" i="34"/>
  <c r="BB37" i="33"/>
  <c r="BB38" i="33" s="1"/>
  <c r="AY20" i="33"/>
  <c r="AX38" i="33"/>
  <c r="S37" i="34"/>
  <c r="E4" i="34"/>
  <c r="B5" i="34" s="1"/>
  <c r="D5" i="34" s="1"/>
  <c r="E5" i="34" s="1"/>
  <c r="B6" i="34" s="1"/>
  <c r="D6" i="34" s="1"/>
  <c r="E6" i="34" s="1"/>
  <c r="B7" i="34" s="1"/>
  <c r="D7" i="34" s="1"/>
  <c r="E7" i="34" s="1"/>
  <c r="B8" i="34" s="1"/>
  <c r="D8" i="34" s="1"/>
  <c r="E8" i="34" s="1"/>
  <c r="B9" i="34" s="1"/>
  <c r="D9" i="34" s="1"/>
  <c r="E9" i="34" s="1"/>
  <c r="B10" i="34" s="1"/>
  <c r="D10" i="34" s="1"/>
  <c r="E10" i="34" s="1"/>
  <c r="B11" i="34" s="1"/>
  <c r="D11" i="34" s="1"/>
  <c r="E11" i="34" s="1"/>
  <c r="B12" i="34" s="1"/>
  <c r="D12" i="34" s="1"/>
  <c r="E12" i="34" s="1"/>
  <c r="B13" i="34" s="1"/>
  <c r="D13" i="34" s="1"/>
  <c r="E13" i="34" s="1"/>
  <c r="B14" i="34" s="1"/>
  <c r="D14" i="34" s="1"/>
  <c r="E14" i="34" s="1"/>
  <c r="B15" i="34" s="1"/>
  <c r="D15" i="34" s="1"/>
  <c r="AQ38" i="33"/>
  <c r="Z37" i="34"/>
  <c r="R37" i="34"/>
  <c r="AV37" i="33"/>
  <c r="AV38" i="33" s="1"/>
  <c r="U37" i="34"/>
  <c r="BD38" i="33"/>
  <c r="Q357" i="35"/>
  <c r="Q261" i="35"/>
  <c r="AS38" i="33"/>
  <c r="AW38" i="33"/>
  <c r="T38" i="33"/>
  <c r="Q293" i="35"/>
  <c r="BI38" i="33"/>
  <c r="Q389" i="35"/>
  <c r="Q325" i="35"/>
  <c r="AR37" i="33"/>
  <c r="AP38" i="33"/>
  <c r="AG20" i="33"/>
  <c r="C37" i="34"/>
  <c r="N37" i="34"/>
  <c r="S38" i="33"/>
  <c r="I20" i="33"/>
  <c r="H38" i="33"/>
  <c r="AD20" i="33"/>
  <c r="AC38" i="33"/>
  <c r="AK38" i="33"/>
  <c r="AH38" i="33"/>
  <c r="AB38" i="33"/>
  <c r="J37" i="34"/>
  <c r="Y38" i="33"/>
  <c r="V38" i="33"/>
  <c r="Q38" i="33"/>
  <c r="I6" i="3"/>
  <c r="D27" i="3"/>
  <c r="G37" i="34"/>
  <c r="AE38" i="33"/>
  <c r="AF38" i="33"/>
  <c r="AI38" i="33"/>
  <c r="AJ37" i="33"/>
  <c r="W38" i="33"/>
  <c r="AL38" i="33"/>
  <c r="X37" i="33"/>
  <c r="F37" i="34"/>
  <c r="M37" i="34"/>
  <c r="R37" i="33"/>
  <c r="U37" i="33"/>
  <c r="AG37" i="33"/>
  <c r="E38" i="33"/>
  <c r="P37" i="34"/>
  <c r="L37" i="34"/>
  <c r="K37" i="34"/>
  <c r="H37" i="34"/>
  <c r="O37" i="33"/>
  <c r="AD37" i="33"/>
  <c r="K38" i="33"/>
  <c r="L37" i="33"/>
  <c r="I37" i="33"/>
  <c r="Q37" i="34"/>
  <c r="O37" i="34"/>
  <c r="I37" i="34"/>
  <c r="J38" i="33"/>
  <c r="AA37" i="33"/>
  <c r="Z38" i="33"/>
  <c r="D38" i="33"/>
  <c r="B38" i="33"/>
  <c r="G38" i="33"/>
  <c r="M38" i="33"/>
  <c r="C38" i="33"/>
  <c r="F37" i="33"/>
  <c r="BL37" i="33"/>
  <c r="BM21" i="33"/>
  <c r="BM37" i="33" s="1"/>
  <c r="AA20" i="33"/>
  <c r="X20" i="33"/>
  <c r="AJ20" i="33"/>
  <c r="U20" i="33"/>
  <c r="F20" i="33"/>
  <c r="L20" i="33"/>
  <c r="N38" i="33"/>
  <c r="O20" i="33"/>
  <c r="P38" i="33"/>
  <c r="R20" i="33"/>
  <c r="BL20" i="33"/>
  <c r="BM16" i="33"/>
  <c r="BM20" i="33" s="1"/>
  <c r="E15" i="34" l="1"/>
  <c r="B16" i="34" s="1"/>
  <c r="D16" i="34" s="1"/>
  <c r="E16" i="34" s="1"/>
  <c r="B17" i="34" s="1"/>
  <c r="D17" i="34" s="1"/>
  <c r="E17" i="34" s="1"/>
  <c r="B18" i="34" s="1"/>
  <c r="D18" i="34" s="1"/>
  <c r="E18" i="34" s="1"/>
  <c r="B20" i="34" s="1"/>
  <c r="D20" i="34" s="1"/>
  <c r="E20" i="34" s="1"/>
  <c r="B21" i="34" s="1"/>
  <c r="D21" i="34" s="1"/>
  <c r="E21" i="34" s="1"/>
  <c r="B22" i="34" s="1"/>
  <c r="D22" i="34" s="1"/>
  <c r="E22" i="34" s="1"/>
  <c r="B23" i="34" s="1"/>
  <c r="D23" i="34" s="1"/>
  <c r="E23" i="34" s="1"/>
  <c r="B24" i="34" s="1"/>
  <c r="D24" i="34" s="1"/>
  <c r="E24" i="34" s="1"/>
  <c r="B25" i="34" s="1"/>
  <c r="D25" i="34" s="1"/>
  <c r="E25" i="34" s="1"/>
  <c r="B26" i="34" s="1"/>
  <c r="D26" i="34" s="1"/>
  <c r="E26" i="34" s="1"/>
  <c r="B27" i="34" s="1"/>
  <c r="D27" i="34" s="1"/>
  <c r="E27" i="34" s="1"/>
  <c r="B28" i="34" s="1"/>
  <c r="D28" i="34" s="1"/>
  <c r="E28" i="34" s="1"/>
  <c r="B29" i="34" s="1"/>
  <c r="D29" i="34" s="1"/>
  <c r="E29" i="34" s="1"/>
  <c r="B30" i="34" s="1"/>
  <c r="D30" i="34" s="1"/>
  <c r="E30" i="34" s="1"/>
  <c r="B31" i="34" s="1"/>
  <c r="D31" i="34" s="1"/>
  <c r="E31" i="34" s="1"/>
  <c r="B32" i="34" s="1"/>
  <c r="D32" i="34" s="1"/>
  <c r="E32" i="34" s="1"/>
  <c r="B33" i="34" s="1"/>
  <c r="D33" i="34" s="1"/>
  <c r="E33" i="34" s="1"/>
  <c r="B34" i="34" s="1"/>
  <c r="D34" i="34" s="1"/>
  <c r="E34" i="34" s="1"/>
  <c r="B35" i="34" s="1"/>
  <c r="D35" i="34" s="1"/>
  <c r="E35" i="34" s="1"/>
  <c r="AO38" i="33"/>
  <c r="AR38" i="33"/>
  <c r="U38" i="33"/>
  <c r="AJ38" i="33"/>
  <c r="AD38" i="33"/>
  <c r="I38" i="33"/>
  <c r="R38" i="33"/>
  <c r="AA38" i="33"/>
  <c r="X38" i="33"/>
  <c r="I27" i="3"/>
  <c r="B6" i="4"/>
  <c r="D6" i="4" s="1"/>
  <c r="AG38" i="33"/>
  <c r="L38" i="33"/>
  <c r="AA37" i="34"/>
  <c r="O38" i="33"/>
  <c r="F38" i="33"/>
  <c r="BM38" i="33"/>
  <c r="BL38" i="33"/>
  <c r="D27" i="4" l="1"/>
  <c r="I6" i="4"/>
  <c r="B6" i="5" l="1"/>
  <c r="D6" i="5" s="1"/>
  <c r="I27" i="4"/>
  <c r="D27" i="5" l="1"/>
  <c r="I6" i="5"/>
  <c r="I27" i="5" l="1"/>
  <c r="B6" i="6"/>
  <c r="D6" i="6" s="1"/>
  <c r="D28" i="6" l="1"/>
  <c r="I6" i="6"/>
  <c r="B6" i="7" l="1"/>
  <c r="D6" i="7" s="1"/>
  <c r="I28" i="6"/>
  <c r="D27" i="7" l="1"/>
  <c r="I6" i="7"/>
  <c r="B6" i="8" l="1"/>
  <c r="D6" i="8" s="1"/>
  <c r="I27" i="7"/>
  <c r="D28" i="8" l="1"/>
  <c r="I6" i="8"/>
  <c r="B6" i="9" l="1"/>
  <c r="D6" i="9" s="1"/>
  <c r="I28" i="8"/>
  <c r="I6" i="9" l="1"/>
  <c r="D28" i="9"/>
  <c r="I28" i="9" l="1"/>
  <c r="B6" i="10"/>
  <c r="D6" i="10" s="1"/>
  <c r="D28" i="10" l="1"/>
  <c r="I6" i="10"/>
  <c r="B6" i="11" l="1"/>
  <c r="D6" i="11" s="1"/>
  <c r="I28" i="10"/>
  <c r="D28" i="11" l="1"/>
  <c r="I6" i="11"/>
  <c r="B6" i="12" l="1"/>
  <c r="D6" i="12" s="1"/>
  <c r="I28" i="11"/>
  <c r="D28" i="12" l="1"/>
  <c r="I6" i="12"/>
  <c r="B6" i="13" l="1"/>
  <c r="D6" i="13" s="1"/>
  <c r="I28" i="12"/>
  <c r="I6" i="13" l="1"/>
  <c r="D28" i="13"/>
  <c r="B6" i="14" l="1"/>
  <c r="D6" i="14" s="1"/>
  <c r="I28" i="13"/>
  <c r="D28" i="14" l="1"/>
  <c r="I6" i="14"/>
  <c r="B6" i="15" l="1"/>
  <c r="D6" i="15" s="1"/>
  <c r="I28" i="14"/>
  <c r="D28" i="15" l="1"/>
  <c r="I6" i="15"/>
  <c r="I28" i="15" l="1"/>
  <c r="B6" i="16"/>
  <c r="D6" i="16" s="1"/>
  <c r="D28" i="16" l="1"/>
  <c r="I6" i="16"/>
  <c r="B6" i="17" l="1"/>
  <c r="D6" i="17" s="1"/>
  <c r="I28" i="16"/>
  <c r="D28" i="17" l="1"/>
  <c r="I6" i="17"/>
  <c r="B6" i="18" l="1"/>
  <c r="D6" i="18" s="1"/>
  <c r="I28" i="17"/>
  <c r="D28" i="18" l="1"/>
  <c r="I6" i="18"/>
  <c r="B6" i="19" l="1"/>
  <c r="D6" i="19" s="1"/>
  <c r="I28" i="18"/>
  <c r="I6" i="19" l="1"/>
  <c r="D28" i="19"/>
  <c r="I28" i="19" l="1"/>
  <c r="B6" i="20"/>
  <c r="D6" i="20" s="1"/>
  <c r="D28" i="20" l="1"/>
  <c r="I6" i="20"/>
  <c r="B6" i="21" l="1"/>
  <c r="D6" i="21" s="1"/>
  <c r="I28" i="20"/>
  <c r="D28" i="21" l="1"/>
  <c r="I6" i="21"/>
  <c r="B6" i="22" l="1"/>
  <c r="D6" i="22" s="1"/>
  <c r="I28" i="21"/>
  <c r="D28" i="22" l="1"/>
  <c r="I6" i="22"/>
  <c r="B6" i="23" l="1"/>
  <c r="D6" i="23" s="1"/>
  <c r="I28" i="22"/>
  <c r="I6" i="23" l="1"/>
  <c r="D28" i="23"/>
  <c r="I28" i="23" l="1"/>
  <c r="B6" i="24"/>
  <c r="D6" i="24" s="1"/>
  <c r="D28" i="24" l="1"/>
  <c r="I6" i="24"/>
  <c r="B6" i="25" l="1"/>
  <c r="D6" i="25" s="1"/>
  <c r="I28" i="24"/>
  <c r="I6" i="25" l="1"/>
  <c r="D28" i="25"/>
  <c r="B6" i="26" l="1"/>
  <c r="D6" i="26" s="1"/>
  <c r="I28" i="25"/>
  <c r="D28" i="26" l="1"/>
  <c r="I6" i="26"/>
  <c r="B6" i="27" l="1"/>
  <c r="D6" i="27" s="1"/>
  <c r="I28" i="26"/>
  <c r="I6" i="27" l="1"/>
  <c r="D28" i="27"/>
  <c r="I28" i="27" l="1"/>
  <c r="B6" i="28"/>
  <c r="D6" i="28" s="1"/>
  <c r="D28" i="28" l="1"/>
  <c r="I6" i="28"/>
  <c r="I28" i="28" l="1"/>
  <c r="B6" i="29"/>
  <c r="D6" i="29" s="1"/>
  <c r="D28" i="29" l="1"/>
  <c r="I6" i="29"/>
  <c r="B6" i="30" l="1"/>
  <c r="D6" i="30" s="1"/>
  <c r="I28" i="29"/>
  <c r="D28" i="30" l="1"/>
  <c r="I6" i="30"/>
  <c r="B6" i="31" l="1"/>
  <c r="D6" i="31" s="1"/>
  <c r="I28" i="30"/>
  <c r="D28" i="31" l="1"/>
  <c r="I6" i="31"/>
  <c r="I28" i="31" l="1"/>
  <c r="B6" i="32"/>
  <c r="D6" i="32" s="1"/>
  <c r="D27" i="32" l="1"/>
  <c r="I6" i="32"/>
  <c r="I27" i="32" s="1"/>
</calcChain>
</file>

<file path=xl/sharedStrings.xml><?xml version="1.0" encoding="utf-8"?>
<sst xmlns="http://schemas.openxmlformats.org/spreadsheetml/2006/main" count="2639" uniqueCount="244">
  <si>
    <t>HSD CONSUMPTION REPORT</t>
  </si>
  <si>
    <t xml:space="preserve">MONTH :- </t>
  </si>
  <si>
    <t xml:space="preserve">RIG NAME :- </t>
  </si>
  <si>
    <t>GTC-50-1</t>
  </si>
  <si>
    <t>OPERATIONAL HOURS</t>
  </si>
  <si>
    <t>Electrical Air Compressor                    (Kirloskar)</t>
  </si>
  <si>
    <t>Fire Pump                                          (Kirloskar)</t>
  </si>
  <si>
    <t>Water Tanker                                              (GJ-08 v - 2430)</t>
  </si>
  <si>
    <t xml:space="preserve">Water Tanker                                               (GJ-18-AZ-1825)                                              </t>
  </si>
  <si>
    <t>WATER TANKER                                             ( GJ-01-BY-5368)</t>
  </si>
  <si>
    <t>OTHERS                                              (CLEANING &amp; SERVICING)</t>
  </si>
  <si>
    <t xml:space="preserve">TRANSFERRED </t>
  </si>
  <si>
    <t>Date</t>
  </si>
  <si>
    <t>R1</t>
  </si>
  <si>
    <t>R2</t>
  </si>
  <si>
    <t>R3</t>
  </si>
  <si>
    <t>ILM/IPM</t>
  </si>
  <si>
    <t>TOTAL HOURS</t>
  </si>
  <si>
    <t>Total  Consu. HSD</t>
  </si>
  <si>
    <t>Total running HRS</t>
  </si>
  <si>
    <t>Day Average</t>
  </si>
  <si>
    <t>Total Consu. HSD</t>
  </si>
  <si>
    <t>TRANSFER GTC 200-01</t>
  </si>
  <si>
    <t>RIG CONSUMPTION</t>
  </si>
  <si>
    <t>TOTAL CONSUMPTION</t>
  </si>
  <si>
    <t>TOTAL:-</t>
  </si>
  <si>
    <t>GRAND TOTAL:-</t>
  </si>
  <si>
    <t xml:space="preserve">HSD TOP UP SHEET REPORT </t>
  </si>
  <si>
    <t>MONTH :-</t>
  </si>
  <si>
    <t xml:space="preserve">Date: </t>
  </si>
  <si>
    <t>Opening Stock</t>
  </si>
  <si>
    <t>Received Stock If Any</t>
  </si>
  <si>
    <t>Total Stock</t>
  </si>
  <si>
    <t>Closing Stock/ Balance</t>
  </si>
  <si>
    <t xml:space="preserve">Rig Carrier                             CAT (C9)                                </t>
  </si>
  <si>
    <t xml:space="preserve">Mud Pump              (Cummins)                                               </t>
  </si>
  <si>
    <t xml:space="preserve">DG SET -1                                                            (125 KVA)                             E622CDJC204733G                </t>
  </si>
  <si>
    <t xml:space="preserve">DG SET -2                                                            ( 125 KVA )                                  E622CDJF215149G   </t>
  </si>
  <si>
    <t xml:space="preserve"> DG SET- 3                                                                (25 KVA)                                                   (Ashok Leyland)                                                            </t>
  </si>
  <si>
    <t xml:space="preserve">Water Tanker                                               (GJ-18-AZ-1825)               </t>
  </si>
  <si>
    <t>TRANSFERRED</t>
  </si>
  <si>
    <t>Total Top Up</t>
  </si>
  <si>
    <t>Remark</t>
  </si>
  <si>
    <t xml:space="preserve">TOTAL </t>
  </si>
  <si>
    <t>GRAND TOTAL</t>
  </si>
  <si>
    <t>OIL TRACKING SHEET</t>
  </si>
  <si>
    <t>RIG NO:</t>
  </si>
  <si>
    <t xml:space="preserve">OPERATOR:  </t>
  </si>
  <si>
    <t>FIELD:</t>
  </si>
  <si>
    <t>MONTH:-</t>
  </si>
  <si>
    <t>NOTE:- PLEASE FILL OIL QTY IN LITER'S ONLY</t>
  </si>
  <si>
    <t>OIL TYPE</t>
  </si>
  <si>
    <t>DATE</t>
  </si>
  <si>
    <t>OPENING STOCK</t>
  </si>
  <si>
    <t>RECEIVED QTY</t>
  </si>
  <si>
    <t>QTY CONSUMPTION OF OIL</t>
  </si>
  <si>
    <t>CONSUMED FOR EQUIPMENT 
ASSET CODE</t>
  </si>
  <si>
    <t>TOTAL CONSUMED</t>
  </si>
  <si>
    <t>CLOSING BALANCE</t>
  </si>
  <si>
    <t>BURNT OIL OPENING BALANCE</t>
  </si>
  <si>
    <t>BURNT OIL EXTRACTED QTY</t>
  </si>
  <si>
    <t>BURNT OIL CONSUMED  QTY</t>
  </si>
  <si>
    <t>BURNT OIL QTY SENT</t>
  </si>
  <si>
    <t xml:space="preserve">DETAILS OF  BURNT OIL SENT </t>
  </si>
  <si>
    <t>TOTAL BALANCE BURNT OIL AT SITE</t>
  </si>
  <si>
    <t>FOR SERVICE</t>
  </si>
  <si>
    <t>FOR TOP-UP</t>
  </si>
  <si>
    <t>GATE PASS NO</t>
  </si>
  <si>
    <t>LOCATION</t>
  </si>
  <si>
    <t>ENGINE OIL
(15W40)</t>
  </si>
  <si>
    <t xml:space="preserve"> </t>
  </si>
  <si>
    <t>TOTAL ENGINE OIL CONSUMED</t>
  </si>
  <si>
    <t>HYD-68 OIL</t>
  </si>
  <si>
    <t>TOTAL HYDRAULIC OIL CONSUMED</t>
  </si>
  <si>
    <t>80W 90 GEAR OIL</t>
  </si>
  <si>
    <t>TOTAL GEAR OIL CONSUMED</t>
  </si>
  <si>
    <t>TRANSMISSION OIL (AFT)</t>
  </si>
  <si>
    <t>TOTAL TRANSMISSION OIL CONSUMED</t>
  </si>
  <si>
    <t xml:space="preserve"> PREMIX COOLANT</t>
  </si>
  <si>
    <t>TOTAL PRE-MIXED COOLANT CONSUMED</t>
  </si>
  <si>
    <t>MP GREASE</t>
  </si>
  <si>
    <t>TOTAL MP GREASE CONSUMED</t>
  </si>
  <si>
    <t xml:space="preserve"> SAE-40 COMPRESSOR OIL</t>
  </si>
  <si>
    <t>TOTAL COMPRESSOR OIL CONSUMED</t>
  </si>
  <si>
    <t>REFINED OIL (FOR BCU)</t>
  </si>
  <si>
    <t>TOTAL REFINED OIL CONSUMED</t>
  </si>
  <si>
    <t>DOPE AS PER API IN KG</t>
  </si>
  <si>
    <t>TOTAL DOPE AS PER API CONSUMED</t>
  </si>
  <si>
    <t>CORONA-68 OIL (ULTRA COOLANT)</t>
  </si>
  <si>
    <t>TOTAL CONONA-68 OIL CONSUMED</t>
  </si>
  <si>
    <t>DRILL O METER CHARGING OIL</t>
  </si>
  <si>
    <t>TOTAL DRILL O METER CHARGING OIL CONSUMED</t>
  </si>
  <si>
    <t>BURNT OIL</t>
  </si>
  <si>
    <t>TOTAL BURNT OIL CONSUMED</t>
  </si>
  <si>
    <t>OIL TANK LEVEL REPORT</t>
  </si>
  <si>
    <t>HYDRAULIC OIL LEVEL (LTRS)</t>
  </si>
  <si>
    <t>MOTNH :-</t>
  </si>
  <si>
    <t>RIG NAME :-</t>
  </si>
  <si>
    <t>RIG CARRIER HYDRAULIC TANK (Capacity- 600 Ltr)</t>
  </si>
  <si>
    <t>Accumulator tank (Capacity - 800 Ltr)</t>
  </si>
  <si>
    <t>Opening</t>
  </si>
  <si>
    <t xml:space="preserve">Top up </t>
  </si>
  <si>
    <t>Loss</t>
  </si>
  <si>
    <t>Closing</t>
  </si>
  <si>
    <t>Top up</t>
  </si>
  <si>
    <t>OPERATION WORKING SHORT DPR</t>
  </si>
  <si>
    <t xml:space="preserve">RIG Name :-                             </t>
  </si>
  <si>
    <t xml:space="preserve">            Date :- </t>
  </si>
  <si>
    <t>Well No :-</t>
  </si>
  <si>
    <t>ILM</t>
  </si>
  <si>
    <t>TOTAL</t>
  </si>
  <si>
    <t>Equipments</t>
  </si>
  <si>
    <t>Opening Stock HSD</t>
  </si>
  <si>
    <t>Top-up HSD</t>
  </si>
  <si>
    <t>Total HSD</t>
  </si>
  <si>
    <t>Total Consu. HRS</t>
  </si>
  <si>
    <t>Opening Running HRS</t>
  </si>
  <si>
    <t>Closing HRS</t>
  </si>
  <si>
    <t>Closing Stock HSD</t>
  </si>
  <si>
    <t>Average</t>
  </si>
  <si>
    <t>Remark If Any</t>
  </si>
  <si>
    <t>Fire Pump (Kirloskar)</t>
  </si>
  <si>
    <t>Water Tanker (GJ-08 v - 2430)</t>
  </si>
  <si>
    <t xml:space="preserve">
Water Tanker (GJ-18 AZ 1825)</t>
  </si>
  <si>
    <t xml:space="preserve">
WATER TANKER ( GJ-01-BY-5368)</t>
  </si>
  <si>
    <t>OTHERS (CLEANING &amp; SERVICING)</t>
  </si>
  <si>
    <t>Opening bal</t>
  </si>
  <si>
    <t>Received</t>
  </si>
  <si>
    <t>Total Balance</t>
  </si>
  <si>
    <t>TOP UP</t>
  </si>
  <si>
    <t>Total Consumption  (Ltrs)</t>
  </si>
  <si>
    <t>Closing Balance.</t>
  </si>
  <si>
    <t>Rig Site Diesel</t>
  </si>
  <si>
    <t>Rig Site -D.Water</t>
  </si>
  <si>
    <t>Lubricants &amp; Grease</t>
  </si>
  <si>
    <t>Lubricants Name</t>
  </si>
  <si>
    <t>Opening Bal</t>
  </si>
  <si>
    <t xml:space="preserve">Total </t>
  </si>
  <si>
    <t xml:space="preserve">Consumed </t>
  </si>
  <si>
    <t>ENGINE OIL 15W40</t>
  </si>
  <si>
    <t>Hydraulic Oil-68</t>
  </si>
  <si>
    <t>Gear Oil = 80-W-90</t>
  </si>
  <si>
    <t>Transmission Oil-30</t>
  </si>
  <si>
    <t>SAE-40 Compressor Oil</t>
  </si>
  <si>
    <t>REFINED OIL(FOR BCU)</t>
  </si>
  <si>
    <t>PREMIX 50-50 COOLANT</t>
  </si>
  <si>
    <t>Grease M.P IN KG</t>
  </si>
  <si>
    <t>Corona-68 Oil (ULTRA COOLANT)</t>
  </si>
  <si>
    <t xml:space="preserve">Drillo Meter Charging Oil </t>
  </si>
  <si>
    <t>Name</t>
  </si>
  <si>
    <t>Opening Bal. Full Cyl</t>
  </si>
  <si>
    <t>Received Full Cyl.</t>
  </si>
  <si>
    <t>Running at site</t>
  </si>
  <si>
    <t>Empty at Site</t>
  </si>
  <si>
    <t>Total Cyl at Site</t>
  </si>
  <si>
    <t>Return to Party</t>
  </si>
  <si>
    <t>Bal. at Site</t>
  </si>
  <si>
    <t>O2 Cyl.</t>
  </si>
  <si>
    <t>DA Cyl.</t>
  </si>
  <si>
    <t>N2</t>
  </si>
  <si>
    <t xml:space="preserve">                                                        RIG Name :-                             </t>
  </si>
  <si>
    <t xml:space="preserve">Rig Carrier                             CAT (C9)                         </t>
  </si>
  <si>
    <t>Mud Pump              (Cummins)</t>
  </si>
  <si>
    <t>DG-1                                E622CDJC204733G                                            (125 KVA)</t>
  </si>
  <si>
    <t>DG-2                                  E622CDJF215149G                           ( 125 KVA )</t>
  </si>
  <si>
    <t>DG- 3                                     (Ashok Leyland)                                      (25 KVA)</t>
  </si>
  <si>
    <t>DG-4                            (Ashok Leyland)                            Lighting Tower</t>
  </si>
  <si>
    <t>Fire Pump                     (Kirloskar)</t>
  </si>
  <si>
    <t>Water Tanker                         (GJ-08 v - 2430)</t>
  </si>
  <si>
    <t xml:space="preserve">
Water Tanker                             (GJ-18 AZ 1825)</t>
  </si>
  <si>
    <t xml:space="preserve">
WATER TANKER                              ( GJ-01-BY-5368)</t>
  </si>
  <si>
    <t>OTHERS                (CLEANING &amp; SERVICING)</t>
  </si>
  <si>
    <t>Mud Pump              (Cummins)/ C-27</t>
  </si>
  <si>
    <t xml:space="preserve">DG-4                            (125 KVA)                            </t>
  </si>
  <si>
    <t xml:space="preserve">DG-4                            (125 KVA)                        </t>
  </si>
  <si>
    <t>MECHANICAL Air Compressor (Kirloskar)</t>
  </si>
  <si>
    <t>GTC-100-01</t>
  </si>
  <si>
    <t>GTC-100-1</t>
  </si>
  <si>
    <t>GTC 100-1</t>
  </si>
  <si>
    <t>GTC-100-02</t>
  </si>
  <si>
    <t>GND#592</t>
  </si>
  <si>
    <t>22.07.2026</t>
  </si>
  <si>
    <t>DND#592</t>
  </si>
  <si>
    <t>GND # 592</t>
  </si>
  <si>
    <t>25.07.2026</t>
  </si>
  <si>
    <t>27.07.2026</t>
  </si>
  <si>
    <t>28.07.2026</t>
  </si>
  <si>
    <t>29.07.2026</t>
  </si>
  <si>
    <t>DG- 3</t>
  </si>
  <si>
    <t>DG-1                                                                       (125 KVA)</t>
  </si>
  <si>
    <t>DG-2                                                          ( 125 KVA )</t>
  </si>
  <si>
    <t>Mud Pump (C-15)</t>
  </si>
  <si>
    <t>ONGC.ANKLESHWAR</t>
  </si>
  <si>
    <t xml:space="preserve"> Rig Carrier                                          CAT (C-15)                                     </t>
  </si>
  <si>
    <t>24.07.2026</t>
  </si>
  <si>
    <t>issued to globe grane GJ 38 S 0395</t>
  </si>
  <si>
    <t>Rig Carrier CAT (C-15)</t>
  </si>
  <si>
    <t>DG-1  SUPERNOVA(125 KVA)</t>
  </si>
  <si>
    <t>DG-2 SUPERNOVA (125 KVA )</t>
  </si>
  <si>
    <t>BREAKDOWN</t>
  </si>
  <si>
    <t xml:space="preserve">Mud Pump   CAT                                                           (C-15)                                       </t>
  </si>
  <si>
    <t xml:space="preserve">DG SET -1                                                            (125 KVA SUPERNOVA)                                                                        </t>
  </si>
  <si>
    <t xml:space="preserve">DG SET -2                                                            ( 125 KVA SUPERNOVA)                                                                     </t>
  </si>
  <si>
    <t xml:space="preserve"> DG SET- 3                                                                (30 KVA SUPERNOVA)                                                                                       </t>
  </si>
  <si>
    <t>Used to charge drillometer.</t>
  </si>
  <si>
    <t>top up in R/C &amp; M/P Engine.</t>
  </si>
  <si>
    <t>used to charge drillometer.</t>
  </si>
  <si>
    <t>TOP UP IN DG-1.</t>
  </si>
  <si>
    <t>ADDED IN DROWORKS CHAIN COVER</t>
  </si>
  <si>
    <t>TOP UP IN RIG ALISSION.</t>
  </si>
  <si>
    <t>TOP UP IN DOWROKS CHAIN COVER.</t>
  </si>
  <si>
    <t>TOP UP IN RIG ENGINE TC.</t>
  </si>
  <si>
    <t>TOP UP IN RIGHT ANGLE PTO AND DRAWORKS BOX.</t>
  </si>
  <si>
    <t>15 LTR TOP UP IN RIGHT ANGLE PTO AND 15 LTR TOP UP IN DROWBOX RIGHT ANGLE.</t>
  </si>
  <si>
    <t>USED TO GREASING.</t>
  </si>
  <si>
    <t>Top up in kellyn swivel &amp; rotary table.</t>
  </si>
  <si>
    <t>top up in DG-1&amp; Rig engine.</t>
  </si>
  <si>
    <t>top up in rig alission.</t>
  </si>
  <si>
    <t>CDR&amp;MILLING JOB.</t>
  </si>
  <si>
    <t>top up in RIG Alission.</t>
  </si>
  <si>
    <t>CDR CUM MILLING</t>
  </si>
  <si>
    <t>TOP UP IN RIG HYDRAULIC TANK.</t>
  </si>
  <si>
    <t>TOP UP IN RADIATOR.</t>
  </si>
  <si>
    <t>TOP UP IN RIG RADIATOR.</t>
  </si>
  <si>
    <t>TOP UP IN RIG  &amp;RADIATOR&amp;FIRE PUMP.</t>
  </si>
  <si>
    <t>TOP UP IN RIG RADIATOR &amp; FIRE PUMP RADIATOR.</t>
  </si>
  <si>
    <t>CDR &amp; MILLING</t>
  </si>
  <si>
    <t>CDR</t>
  </si>
  <si>
    <t>ADDED IN RIG HYD.TANK.</t>
  </si>
  <si>
    <t>TOP UP IN WATER PUMP.</t>
  </si>
  <si>
    <t>TOP UP IN GEAR PUMP.</t>
  </si>
  <si>
    <t>TOP UP IN RIG PTO.</t>
  </si>
  <si>
    <t>ISSUED FOR GREASING.</t>
  </si>
  <si>
    <t>ADDED IN RIG ALISSION.</t>
  </si>
  <si>
    <t>ADDED IN RIG RADIATOR.</t>
  </si>
  <si>
    <t>added in rig hyd.tank.</t>
  </si>
  <si>
    <t>issued for rig alission cleaning.</t>
  </si>
  <si>
    <t>5 ltr top up In rig engine &amp; 10 ltr top up in mud pump engine.</t>
  </si>
  <si>
    <t>3 ltr top up in rig engine &amp; 02 ltr top up in DG-1 engine.</t>
  </si>
  <si>
    <t>10 ltr top up in rotary table &amp; 05 ltr top up in kelly swivel.</t>
  </si>
  <si>
    <t>ONGC.ANKLESHWAR ASSET</t>
  </si>
  <si>
    <t>TOP UP IN RIG HYD.TANK.</t>
  </si>
  <si>
    <t>Run in third gear only.</t>
  </si>
  <si>
    <t>TOP UP IN RIG ENGINE AND DG-1.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</si>
</sst>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0.000"/>
    <numFmt numFmtId="165" formatCode="[$-409]d/mmm/yy;@"/>
    <numFmt numFmtId="166" formatCode="_ &quot;₹&quot;\ * #,##0.000_ ;_ &quot;₹&quot;\ * \-#,##0.000_ ;_ &quot;₹&quot;\ * &quot;-&quot;??_ ;_ @_ "/>
    <numFmt numFmtId="167" formatCode="0.0"/>
    <numFmt numFmtId="168" formatCode="[$-F800]dddd\,\ mmmm\ dd\,\ yyyy"/>
  </numFmts>
  <fonts count="1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indexed="8"/>
      <name val="Calibri"/>
      <family val="2"/>
    </font>
    <font>
      <b/>
      <u/>
      <sz val="72"/>
      <color indexed="8"/>
      <name val="Calibri"/>
      <family val="2"/>
    </font>
    <font>
      <b/>
      <sz val="72"/>
      <name val="Calibri"/>
      <family val="2"/>
    </font>
    <font>
      <sz val="72"/>
      <name val="Calibri"/>
      <family val="2"/>
      <scheme val="minor"/>
    </font>
    <font>
      <sz val="72"/>
      <name val="Calibri"/>
      <family val="2"/>
    </font>
    <font>
      <b/>
      <sz val="26"/>
      <name val="Calibri"/>
      <family val="2"/>
    </font>
    <font>
      <sz val="72"/>
      <color theme="1"/>
      <name val="Calibri"/>
      <family val="2"/>
    </font>
    <font>
      <sz val="26"/>
      <name val="Calibri"/>
      <family val="2"/>
    </font>
    <font>
      <b/>
      <u/>
      <sz val="72"/>
      <name val="Calibri"/>
      <family val="2"/>
    </font>
    <font>
      <b/>
      <sz val="26"/>
      <color rgb="FF0070C0"/>
      <name val="Calibri"/>
      <family val="2"/>
    </font>
    <font>
      <sz val="72"/>
      <color rgb="FF000000"/>
      <name val="Calibri"/>
      <family val="2"/>
      <scheme val="minor"/>
    </font>
    <font>
      <b/>
      <sz val="48"/>
      <color rgb="FF0070C0"/>
      <name val="Calibri"/>
      <family val="2"/>
    </font>
    <font>
      <b/>
      <sz val="72"/>
      <color rgb="FF0070C0"/>
      <name val="Calibri"/>
      <family val="2"/>
    </font>
    <font>
      <b/>
      <sz val="26"/>
      <color rgb="FF0070C0"/>
      <name val="Calibri"/>
      <family val="2"/>
      <scheme val="minor"/>
    </font>
    <font>
      <b/>
      <sz val="72"/>
      <color theme="3"/>
      <name val="Calibri"/>
      <family val="2"/>
    </font>
    <font>
      <b/>
      <sz val="26"/>
      <color theme="3"/>
      <name val="Calibri"/>
      <family val="2"/>
    </font>
    <font>
      <b/>
      <u/>
      <sz val="26"/>
      <name val="Calibri"/>
      <family val="2"/>
    </font>
    <font>
      <b/>
      <sz val="72"/>
      <color rgb="FFFF0000"/>
      <name val="Calibri"/>
      <family val="2"/>
      <scheme val="minor"/>
    </font>
    <font>
      <b/>
      <sz val="72"/>
      <name val="Calibri"/>
      <family val="2"/>
      <scheme val="minor"/>
    </font>
    <font>
      <b/>
      <sz val="72"/>
      <color theme="1"/>
      <name val="Calibri"/>
      <family val="2"/>
    </font>
    <font>
      <b/>
      <sz val="72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60"/>
      <color indexed="8"/>
      <name val="Calibri"/>
      <family val="2"/>
    </font>
    <font>
      <b/>
      <sz val="36"/>
      <color rgb="FF0070C0"/>
      <name val="Calibri"/>
      <family val="2"/>
    </font>
    <font>
      <sz val="48"/>
      <color theme="1"/>
      <name val="Calibri"/>
      <family val="2"/>
      <scheme val="minor"/>
    </font>
    <font>
      <b/>
      <sz val="48"/>
      <color indexed="8"/>
      <name val="Calibri"/>
      <family val="2"/>
    </font>
    <font>
      <b/>
      <u/>
      <sz val="48"/>
      <color indexed="8"/>
      <name val="Calibri"/>
      <family val="2"/>
    </font>
    <font>
      <b/>
      <sz val="48"/>
      <name val="Calibri"/>
      <family val="2"/>
    </font>
    <font>
      <b/>
      <sz val="48"/>
      <color theme="3"/>
      <name val="Calibri"/>
      <family val="2"/>
    </font>
    <font>
      <b/>
      <sz val="48"/>
      <color rgb="FFFF0000"/>
      <name val="Calibri"/>
      <family val="2"/>
      <scheme val="minor"/>
    </font>
    <font>
      <b/>
      <sz val="48"/>
      <name val="Calibri"/>
      <family val="2"/>
      <scheme val="minor"/>
    </font>
    <font>
      <sz val="48"/>
      <name val="Calibri"/>
      <family val="2"/>
    </font>
    <font>
      <b/>
      <u/>
      <sz val="48"/>
      <name val="Calibri"/>
      <family val="2"/>
    </font>
    <font>
      <b/>
      <sz val="48"/>
      <color theme="1"/>
      <name val="Calibri"/>
      <family val="2"/>
    </font>
    <font>
      <sz val="48"/>
      <name val="Calibri"/>
      <family val="2"/>
      <scheme val="minor"/>
    </font>
    <font>
      <sz val="48"/>
      <color theme="1"/>
      <name val="Calibri"/>
      <family val="2"/>
    </font>
    <font>
      <b/>
      <sz val="36"/>
      <color theme="1"/>
      <name val="Calibri"/>
      <family val="2"/>
      <scheme val="minor"/>
    </font>
    <font>
      <b/>
      <sz val="42"/>
      <color rgb="FF0070C0"/>
      <name val="Calibri"/>
      <family val="2"/>
    </font>
    <font>
      <sz val="36"/>
      <color theme="1"/>
      <name val="Calibri"/>
      <family val="2"/>
      <scheme val="minor"/>
    </font>
    <font>
      <b/>
      <sz val="36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Calibri"/>
      <family val="2"/>
    </font>
    <font>
      <b/>
      <u/>
      <sz val="16"/>
      <color indexed="8"/>
      <name val="Calibri"/>
      <family val="2"/>
    </font>
    <font>
      <b/>
      <sz val="16"/>
      <name val="Calibri"/>
      <family val="2"/>
    </font>
    <font>
      <b/>
      <sz val="16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b/>
      <u/>
      <sz val="14"/>
      <name val="Calibri"/>
      <family val="2"/>
    </font>
    <font>
      <b/>
      <sz val="14"/>
      <color rgb="FF0070C0"/>
      <name val="Calibri"/>
      <family val="2"/>
    </font>
    <font>
      <b/>
      <sz val="14"/>
      <color rgb="FF0070C0"/>
      <name val="Calibri"/>
      <family val="2"/>
      <scheme val="minor"/>
    </font>
    <font>
      <b/>
      <sz val="14"/>
      <color theme="3"/>
      <name val="Calibri"/>
      <family val="2"/>
    </font>
    <font>
      <b/>
      <u/>
      <sz val="12"/>
      <name val="Calibri"/>
      <family val="2"/>
    </font>
    <font>
      <sz val="12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name val="Book Antiqua"/>
      <family val="1"/>
    </font>
    <font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</font>
    <font>
      <sz val="16"/>
      <color theme="1"/>
      <name val="Calibri"/>
      <family val="2"/>
      <scheme val="minor"/>
    </font>
    <font>
      <b/>
      <u/>
      <sz val="48"/>
      <color theme="1"/>
      <name val="Calibri"/>
      <family val="2"/>
      <scheme val="minor"/>
    </font>
    <font>
      <b/>
      <sz val="16"/>
      <name val="Book Antiqua"/>
      <family val="1"/>
    </font>
    <font>
      <b/>
      <sz val="24"/>
      <color theme="1"/>
      <name val="Book Antiqua"/>
      <family val="1"/>
    </font>
    <font>
      <b/>
      <sz val="18"/>
      <name val="Arial Black"/>
      <family val="2"/>
    </font>
    <font>
      <sz val="18"/>
      <color theme="1"/>
      <name val="Arial Black"/>
      <family val="2"/>
    </font>
    <font>
      <sz val="18"/>
      <name val="Arial Black"/>
      <family val="2"/>
    </font>
    <font>
      <b/>
      <sz val="24"/>
      <name val="Book Antiqua"/>
      <family val="1"/>
    </font>
    <font>
      <sz val="18"/>
      <color theme="1"/>
      <name val="Calibri"/>
      <family val="2"/>
      <scheme val="minor"/>
    </font>
    <font>
      <b/>
      <u/>
      <sz val="26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theme="1"/>
      <name val="Calibri"/>
      <family val="2"/>
    </font>
    <font>
      <b/>
      <sz val="18"/>
      <name val="Arial"/>
      <family val="2"/>
    </font>
    <font>
      <sz val="18"/>
      <name val="Arial"/>
      <family val="2"/>
    </font>
    <font>
      <b/>
      <sz val="18"/>
      <name val="Book Antiqua"/>
      <family val="1"/>
    </font>
    <font>
      <b/>
      <sz val="18"/>
      <name val="Calibri"/>
      <family val="2"/>
      <scheme val="minor"/>
    </font>
    <font>
      <sz val="18"/>
      <color theme="1"/>
      <name val="Arial"/>
      <family val="2"/>
    </font>
    <font>
      <b/>
      <sz val="24"/>
      <name val="Calibri"/>
      <family val="2"/>
    </font>
    <font>
      <sz val="11"/>
      <color theme="1"/>
      <name val="Calibri"/>
      <family val="2"/>
      <scheme val="minor"/>
    </font>
    <font>
      <b/>
      <sz val="45"/>
      <color rgb="FF0070C0"/>
      <name val="Calibri"/>
      <family val="2"/>
    </font>
    <font>
      <b/>
      <sz val="42"/>
      <color theme="1"/>
      <name val="Calibri"/>
      <family val="2"/>
      <scheme val="minor"/>
    </font>
    <font>
      <b/>
      <sz val="36"/>
      <color theme="3"/>
      <name val="Calibri"/>
      <family val="2"/>
    </font>
    <font>
      <sz val="12"/>
      <name val="Calibri"/>
      <family val="2"/>
      <scheme val="minor"/>
    </font>
    <font>
      <b/>
      <sz val="36"/>
      <name val="Calibri"/>
      <family val="2"/>
      <scheme val="minor"/>
    </font>
    <font>
      <b/>
      <sz val="39"/>
      <color rgb="FF0070C0"/>
      <name val="Calibri"/>
      <family val="2"/>
    </font>
    <font>
      <b/>
      <sz val="50"/>
      <color indexed="8"/>
      <name val="Calibri"/>
      <family val="2"/>
    </font>
    <font>
      <b/>
      <sz val="40"/>
      <color rgb="FF0070C0"/>
      <name val="Calibri"/>
      <family val="2"/>
    </font>
    <font>
      <b/>
      <sz val="50"/>
      <color rgb="FF0070C0"/>
      <name val="Calibri"/>
      <family val="2"/>
    </font>
    <font>
      <b/>
      <sz val="50"/>
      <color theme="1"/>
      <name val="Calibri"/>
      <family val="2"/>
      <scheme val="minor"/>
    </font>
    <font>
      <b/>
      <sz val="50"/>
      <color rgb="FFFF0000"/>
      <name val="Calibri"/>
      <family val="2"/>
      <scheme val="minor"/>
    </font>
    <font>
      <b/>
      <sz val="10"/>
      <color rgb="FF0070C0"/>
      <name val="Calibri"/>
      <family val="2"/>
    </font>
    <font>
      <sz val="4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Calibri"/>
      <family val="2"/>
    </font>
    <font>
      <b/>
      <sz val="20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40"/>
      <color theme="1"/>
      <name val="Calibri"/>
      <family val="2"/>
      <scheme val="minor"/>
    </font>
    <font>
      <b/>
      <sz val="54"/>
      <color indexed="8"/>
      <name val="Calibri"/>
      <family val="2"/>
    </font>
    <font>
      <b/>
      <sz val="58"/>
      <color indexed="8"/>
      <name val="Calibri"/>
      <family val="2"/>
    </font>
    <font>
      <b/>
      <sz val="54"/>
      <color theme="1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11"/>
      <color theme="3"/>
      <name val="Calibri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60"/>
      <name val="Calibri"/>
      <family val="2"/>
    </font>
    <font>
      <sz val="14"/>
      <name val="Arial"/>
      <family val="2"/>
    </font>
    <font>
      <b/>
      <sz val="8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rgb="FF0070C0"/>
      <name val="Calibri"/>
      <family val="2"/>
    </font>
    <font>
      <b/>
      <sz val="2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4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4" fontId="95" fillId="0" borderId="0" applyFont="0" applyFill="0" applyBorder="0" applyAlignment="0" applyProtection="0"/>
  </cellStyleXfs>
  <cellXfs count="981">
    <xf numFmtId="0" fontId="0" fillId="0" borderId="0" xfId="0"/>
    <xf numFmtId="0" fontId="6" fillId="2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3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>
      <alignment horizontal="center" vertical="center"/>
    </xf>
    <xf numFmtId="14" fontId="9" fillId="4" borderId="4" xfId="0" applyNumberFormat="1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9" fillId="4" borderId="7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2" fillId="10" borderId="9" xfId="0" applyFont="1" applyFill="1" applyBorder="1" applyAlignment="1" applyProtection="1">
      <alignment horizontal="center" vertical="center" wrapText="1"/>
      <protection locked="0"/>
    </xf>
    <xf numFmtId="0" fontId="13" fillId="3" borderId="10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 applyProtection="1">
      <alignment horizontal="center" vertical="center" wrapText="1"/>
      <protection locked="0"/>
    </xf>
    <xf numFmtId="0" fontId="12" fillId="4" borderId="11" xfId="0" applyFont="1" applyFill="1" applyBorder="1" applyAlignment="1" applyProtection="1">
      <alignment horizontal="center" vertical="center" wrapText="1"/>
      <protection locked="0"/>
    </xf>
    <xf numFmtId="0" fontId="12" fillId="9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wrapText="1"/>
    </xf>
    <xf numFmtId="0" fontId="11" fillId="11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 applyProtection="1">
      <alignment horizontal="center" vertical="center" wrapText="1"/>
      <protection locked="0"/>
    </xf>
    <xf numFmtId="0" fontId="12" fillId="10" borderId="14" xfId="0" applyFont="1" applyFill="1" applyBorder="1" applyAlignment="1" applyProtection="1">
      <alignment horizontal="center" vertical="center" wrapText="1"/>
      <protection locked="0"/>
    </xf>
    <xf numFmtId="0" fontId="12" fillId="10" borderId="15" xfId="0" applyFont="1" applyFill="1" applyBorder="1" applyAlignment="1" applyProtection="1">
      <alignment horizontal="center" vertical="center" wrapText="1"/>
      <protection locked="0"/>
    </xf>
    <xf numFmtId="0" fontId="12" fillId="4" borderId="16" xfId="0" applyFont="1" applyFill="1" applyBorder="1" applyAlignment="1" applyProtection="1">
      <alignment horizontal="center" vertical="center" wrapText="1"/>
      <protection locked="0"/>
    </xf>
    <xf numFmtId="0" fontId="12" fillId="10" borderId="17" xfId="0" applyFont="1" applyFill="1" applyBorder="1" applyAlignment="1" applyProtection="1">
      <alignment horizontal="center" vertical="center" wrapText="1"/>
      <protection locked="0"/>
    </xf>
    <xf numFmtId="0" fontId="13" fillId="3" borderId="18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 applyProtection="1">
      <alignment horizontal="center" vertical="center" wrapText="1"/>
      <protection locked="0"/>
    </xf>
    <xf numFmtId="0" fontId="12" fillId="4" borderId="20" xfId="0" applyFont="1" applyFill="1" applyBorder="1" applyAlignment="1" applyProtection="1">
      <alignment horizontal="center" vertical="center" wrapText="1"/>
      <protection locked="0"/>
    </xf>
    <xf numFmtId="0" fontId="13" fillId="3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  <protection locked="0"/>
    </xf>
    <xf numFmtId="0" fontId="12" fillId="10" borderId="20" xfId="0" applyFont="1" applyFill="1" applyBorder="1" applyAlignment="1" applyProtection="1">
      <alignment horizontal="center" vertical="center" wrapText="1"/>
      <protection locked="0"/>
    </xf>
    <xf numFmtId="0" fontId="11" fillId="8" borderId="4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1" fillId="3" borderId="4" xfId="0" applyFont="1" applyFill="1" applyBorder="1" applyAlignment="1">
      <alignment vertical="center" wrapText="1"/>
    </xf>
    <xf numFmtId="0" fontId="12" fillId="3" borderId="22" xfId="0" applyFont="1" applyFill="1" applyBorder="1" applyAlignment="1">
      <alignment horizontal="center" vertical="center"/>
    </xf>
    <xf numFmtId="0" fontId="13" fillId="4" borderId="23" xfId="0" applyFont="1" applyFill="1" applyBorder="1" applyAlignment="1" applyProtection="1">
      <alignment horizontal="center" vertical="center"/>
      <protection locked="0"/>
    </xf>
    <xf numFmtId="0" fontId="13" fillId="3" borderId="4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22" xfId="0" applyFont="1" applyFill="1" applyBorder="1" applyAlignment="1" applyProtection="1">
      <alignment horizontal="center" vertical="center"/>
      <protection locked="0"/>
    </xf>
    <xf numFmtId="0" fontId="13" fillId="4" borderId="24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 applyProtection="1">
      <alignment horizontal="center" vertical="center" wrapText="1"/>
      <protection locked="0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3" borderId="25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19" fillId="3" borderId="28" xfId="0" applyFont="1" applyFill="1" applyBorder="1" applyAlignment="1">
      <alignment horizontal="center" vertical="center"/>
    </xf>
    <xf numFmtId="0" fontId="12" fillId="10" borderId="2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>
      <alignment horizontal="center" vertical="center"/>
    </xf>
    <xf numFmtId="0" fontId="12" fillId="4" borderId="30" xfId="0" applyFont="1" applyFill="1" applyBorder="1" applyAlignment="1" applyProtection="1">
      <alignment horizontal="center" vertical="center"/>
      <protection locked="0"/>
    </xf>
    <xf numFmtId="0" fontId="20" fillId="4" borderId="31" xfId="0" applyFont="1" applyFill="1" applyBorder="1" applyAlignment="1" applyProtection="1">
      <alignment horizontal="left" vertical="center" wrapText="1"/>
      <protection locked="0"/>
    </xf>
    <xf numFmtId="0" fontId="11" fillId="3" borderId="13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center" vertical="center"/>
    </xf>
    <xf numFmtId="0" fontId="21" fillId="4" borderId="32" xfId="0" applyFont="1" applyFill="1" applyBorder="1" applyAlignment="1" applyProtection="1">
      <alignment horizontal="left" vertical="center" wrapText="1"/>
      <protection locked="0"/>
    </xf>
    <xf numFmtId="0" fontId="7" fillId="4" borderId="32" xfId="0" applyFont="1" applyFill="1" applyBorder="1" applyAlignment="1" applyProtection="1">
      <alignment vertical="center" wrapText="1"/>
      <protection locked="0"/>
    </xf>
    <xf numFmtId="0" fontId="22" fillId="0" borderId="0" xfId="0" applyFont="1" applyAlignment="1">
      <alignment vertical="center" wrapText="1"/>
    </xf>
    <xf numFmtId="0" fontId="23" fillId="4" borderId="33" xfId="0" applyFont="1" applyFill="1" applyBorder="1" applyAlignment="1" applyProtection="1">
      <alignment horizontal="left" vertical="center" wrapText="1"/>
      <protection locked="0"/>
    </xf>
    <xf numFmtId="0" fontId="24" fillId="0" borderId="0" xfId="0" applyFont="1" applyAlignment="1">
      <alignment horizontal="left" vertical="center" wrapText="1"/>
    </xf>
    <xf numFmtId="0" fontId="21" fillId="4" borderId="34" xfId="0" applyFont="1" applyFill="1" applyBorder="1" applyAlignment="1" applyProtection="1">
      <alignment horizontal="left" vertical="center" wrapText="1"/>
      <protection locked="0"/>
    </xf>
    <xf numFmtId="0" fontId="11" fillId="3" borderId="18" xfId="0" applyFont="1" applyFill="1" applyBorder="1" applyAlignment="1">
      <alignment horizontal="left" vertical="center" wrapText="1"/>
    </xf>
    <xf numFmtId="0" fontId="21" fillId="4" borderId="35" xfId="0" applyFont="1" applyFill="1" applyBorder="1" applyAlignment="1" applyProtection="1">
      <alignment horizontal="left" vertical="center" wrapText="1"/>
      <protection locked="0"/>
    </xf>
    <xf numFmtId="0" fontId="11" fillId="3" borderId="36" xfId="0" applyFont="1" applyFill="1" applyBorder="1" applyAlignment="1">
      <alignment horizontal="left" vertical="center" wrapText="1"/>
    </xf>
    <xf numFmtId="0" fontId="13" fillId="3" borderId="36" xfId="0" applyFont="1" applyFill="1" applyBorder="1" applyAlignment="1">
      <alignment horizontal="center" vertical="center"/>
    </xf>
    <xf numFmtId="0" fontId="20" fillId="4" borderId="37" xfId="0" applyFont="1" applyFill="1" applyBorder="1" applyAlignment="1" applyProtection="1">
      <alignment horizontal="left" vertical="center" wrapText="1"/>
      <protection locked="0"/>
    </xf>
    <xf numFmtId="0" fontId="25" fillId="0" borderId="38" xfId="0" applyFont="1" applyBorder="1" applyAlignment="1">
      <alignment horizontal="left" vertical="center" wrapText="1"/>
    </xf>
    <xf numFmtId="0" fontId="25" fillId="0" borderId="0" xfId="0" applyFont="1" applyAlignment="1">
      <alignment horizontal="center"/>
    </xf>
    <xf numFmtId="0" fontId="14" fillId="0" borderId="39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/>
    </xf>
    <xf numFmtId="0" fontId="6" fillId="4" borderId="42" xfId="0" applyFont="1" applyFill="1" applyBorder="1" applyAlignment="1" applyProtection="1">
      <alignment horizontal="center" vertical="center"/>
      <protection locked="0"/>
    </xf>
    <xf numFmtId="0" fontId="6" fillId="4" borderId="28" xfId="0" applyFont="1" applyFill="1" applyBorder="1" applyAlignment="1" applyProtection="1">
      <alignment horizontal="center" vertical="center"/>
      <protection locked="0"/>
    </xf>
    <xf numFmtId="1" fontId="16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8" xfId="0" applyFont="1" applyFill="1" applyBorder="1" applyAlignment="1" applyProtection="1">
      <alignment horizontal="center" vertical="center"/>
      <protection locked="0"/>
    </xf>
    <xf numFmtId="1" fontId="16" fillId="4" borderId="28" xfId="0" applyNumberFormat="1" applyFont="1" applyFill="1" applyBorder="1" applyAlignment="1" applyProtection="1">
      <alignment horizontal="center" vertical="center"/>
      <protection locked="0"/>
    </xf>
    <xf numFmtId="0" fontId="14" fillId="3" borderId="43" xfId="0" applyFont="1" applyFill="1" applyBorder="1" applyAlignment="1">
      <alignment horizontal="center" vertical="center"/>
    </xf>
    <xf numFmtId="0" fontId="6" fillId="4" borderId="44" xfId="0" applyFont="1" applyFill="1" applyBorder="1" applyAlignment="1" applyProtection="1">
      <alignment horizontal="center" vertical="center"/>
      <protection locked="0"/>
    </xf>
    <xf numFmtId="0" fontId="6" fillId="4" borderId="16" xfId="0" applyFont="1" applyFill="1" applyBorder="1" applyAlignment="1" applyProtection="1">
      <alignment horizontal="center" vertical="center"/>
      <protection locked="0"/>
    </xf>
    <xf numFmtId="1" fontId="16" fillId="4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16" xfId="0" applyFont="1" applyFill="1" applyBorder="1" applyAlignment="1" applyProtection="1">
      <alignment horizontal="center" vertical="center"/>
      <protection locked="0"/>
    </xf>
    <xf numFmtId="1" fontId="16" fillId="4" borderId="16" xfId="0" applyNumberFormat="1" applyFont="1" applyFill="1" applyBorder="1" applyAlignment="1" applyProtection="1">
      <alignment horizontal="center" vertical="center"/>
      <protection locked="0"/>
    </xf>
    <xf numFmtId="0" fontId="14" fillId="3" borderId="45" xfId="0" applyFont="1" applyFill="1" applyBorder="1" applyAlignment="1">
      <alignment horizontal="center" vertical="center"/>
    </xf>
    <xf numFmtId="0" fontId="6" fillId="4" borderId="46" xfId="0" applyFont="1" applyFill="1" applyBorder="1" applyAlignment="1" applyProtection="1">
      <alignment horizontal="center" vertical="center"/>
      <protection locked="0"/>
    </xf>
    <xf numFmtId="0" fontId="6" fillId="4" borderId="47" xfId="0" applyFont="1" applyFill="1" applyBorder="1" applyAlignment="1" applyProtection="1">
      <alignment horizontal="center" vertical="center"/>
      <protection locked="0"/>
    </xf>
    <xf numFmtId="1" fontId="16" fillId="4" borderId="4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47" xfId="0" applyFont="1" applyFill="1" applyBorder="1" applyAlignment="1" applyProtection="1">
      <alignment horizontal="center" vertical="center"/>
      <protection locked="0"/>
    </xf>
    <xf numFmtId="1" fontId="16" fillId="4" borderId="47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/>
    </xf>
    <xf numFmtId="0" fontId="13" fillId="3" borderId="53" xfId="0" applyFont="1" applyFill="1" applyBorder="1" applyAlignment="1">
      <alignment horizontal="center" vertical="center" wrapText="1"/>
    </xf>
    <xf numFmtId="0" fontId="26" fillId="4" borderId="19" xfId="0" applyFont="1" applyFill="1" applyBorder="1" applyAlignment="1" applyProtection="1">
      <alignment horizontal="center" wrapText="1"/>
      <protection locked="0"/>
    </xf>
    <xf numFmtId="0" fontId="26" fillId="4" borderId="54" xfId="0" applyFont="1" applyFill="1" applyBorder="1" applyAlignment="1" applyProtection="1">
      <alignment horizontal="center" wrapText="1"/>
      <protection locked="0"/>
    </xf>
    <xf numFmtId="2" fontId="14" fillId="2" borderId="0" xfId="0" applyNumberFormat="1" applyFont="1" applyFill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6" fillId="0" borderId="16" xfId="0" applyFont="1" applyBorder="1"/>
    <xf numFmtId="0" fontId="25" fillId="4" borderId="51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5" fillId="4" borderId="52" xfId="0" applyFont="1" applyFill="1" applyBorder="1" applyAlignment="1" applyProtection="1">
      <alignment horizontal="center" vertical="center"/>
      <protection locked="0"/>
    </xf>
    <xf numFmtId="0" fontId="16" fillId="4" borderId="57" xfId="0" applyFont="1" applyFill="1" applyBorder="1" applyAlignment="1" applyProtection="1">
      <alignment horizontal="center" vertical="center"/>
      <protection locked="0"/>
    </xf>
    <xf numFmtId="22" fontId="16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0" fontId="27" fillId="9" borderId="8" xfId="0" applyFont="1" applyFill="1" applyBorder="1" applyAlignment="1">
      <alignment horizontal="center" vertical="center" wrapText="1"/>
    </xf>
    <xf numFmtId="0" fontId="27" fillId="10" borderId="9" xfId="0" applyFont="1" applyFill="1" applyBorder="1" applyAlignment="1" applyProtection="1">
      <alignment horizontal="center" vertical="center" wrapText="1"/>
      <protection locked="0"/>
    </xf>
    <xf numFmtId="0" fontId="11" fillId="3" borderId="10" xfId="0" applyFont="1" applyFill="1" applyBorder="1" applyAlignment="1">
      <alignment horizontal="center" vertical="center" wrapText="1"/>
    </xf>
    <xf numFmtId="0" fontId="27" fillId="10" borderId="8" xfId="0" applyFont="1" applyFill="1" applyBorder="1" applyAlignment="1" applyProtection="1">
      <alignment horizontal="center" vertical="center" wrapText="1"/>
      <protection locked="0"/>
    </xf>
    <xf numFmtId="0" fontId="27" fillId="4" borderId="11" xfId="0" applyFont="1" applyFill="1" applyBorder="1" applyAlignment="1" applyProtection="1">
      <alignment horizontal="center" vertical="center" wrapText="1"/>
      <protection locked="0"/>
    </xf>
    <xf numFmtId="0" fontId="27" fillId="9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27" fillId="10" borderId="9" xfId="0" applyFont="1" applyFill="1" applyBorder="1" applyAlignment="1">
      <alignment horizontal="center" vertical="center" wrapText="1"/>
    </xf>
    <xf numFmtId="0" fontId="27" fillId="10" borderId="8" xfId="0" applyFont="1" applyFill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15" xfId="0" applyFont="1" applyFill="1" applyBorder="1" applyAlignment="1">
      <alignment horizontal="center" vertical="center" wrapText="1"/>
    </xf>
    <xf numFmtId="0" fontId="27" fillId="4" borderId="16" xfId="0" applyFont="1" applyFill="1" applyBorder="1" applyAlignment="1">
      <alignment horizontal="center" vertical="center" wrapText="1"/>
    </xf>
    <xf numFmtId="0" fontId="27" fillId="10" borderId="17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27" fillId="10" borderId="19" xfId="0" applyFont="1" applyFill="1" applyBorder="1" applyAlignment="1">
      <alignment horizontal="center" vertical="center" wrapText="1"/>
    </xf>
    <xf numFmtId="0" fontId="27" fillId="4" borderId="20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27" fillId="10" borderId="20" xfId="0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 applyProtection="1">
      <alignment horizontal="center" vertical="center"/>
      <protection locked="0"/>
    </xf>
    <xf numFmtId="0" fontId="28" fillId="3" borderId="2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1" fillId="4" borderId="24" xfId="0" applyFont="1" applyFill="1" applyBorder="1" applyAlignment="1" applyProtection="1">
      <alignment horizontal="center" vertical="center"/>
      <protection locked="0"/>
    </xf>
    <xf numFmtId="0" fontId="29" fillId="3" borderId="28" xfId="0" applyFont="1" applyFill="1" applyBorder="1" applyAlignment="1">
      <alignment horizontal="center" vertical="center"/>
    </xf>
    <xf numFmtId="0" fontId="27" fillId="10" borderId="29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>
      <alignment horizontal="center" vertical="center"/>
    </xf>
    <xf numFmtId="0" fontId="27" fillId="4" borderId="30" xfId="0" applyFont="1" applyFill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21" fillId="4" borderId="37" xfId="0" applyFont="1" applyFill="1" applyBorder="1" applyAlignment="1" applyProtection="1">
      <alignment horizontal="left" vertical="center" wrapText="1"/>
      <protection locked="0"/>
    </xf>
    <xf numFmtId="0" fontId="28" fillId="3" borderId="12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/>
    </xf>
    <xf numFmtId="0" fontId="11" fillId="3" borderId="5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center"/>
    </xf>
    <xf numFmtId="0" fontId="27" fillId="10" borderId="14" xfId="0" applyFont="1" applyFill="1" applyBorder="1" applyAlignment="1" applyProtection="1">
      <alignment horizontal="center" vertical="center" wrapText="1"/>
      <protection locked="0"/>
    </xf>
    <xf numFmtId="0" fontId="27" fillId="10" borderId="15" xfId="0" applyFont="1" applyFill="1" applyBorder="1" applyAlignment="1" applyProtection="1">
      <alignment horizontal="center" vertical="center" wrapText="1"/>
      <protection locked="0"/>
    </xf>
    <xf numFmtId="0" fontId="27" fillId="4" borderId="16" xfId="0" applyFont="1" applyFill="1" applyBorder="1" applyAlignment="1" applyProtection="1">
      <alignment horizontal="center" vertical="center" wrapText="1"/>
      <protection locked="0"/>
    </xf>
    <xf numFmtId="0" fontId="27" fillId="10" borderId="17" xfId="0" applyFont="1" applyFill="1" applyBorder="1" applyAlignment="1" applyProtection="1">
      <alignment horizontal="center" vertical="center" wrapText="1"/>
      <protection locked="0"/>
    </xf>
    <xf numFmtId="0" fontId="27" fillId="10" borderId="19" xfId="0" applyFont="1" applyFill="1" applyBorder="1" applyAlignment="1" applyProtection="1">
      <alignment horizontal="center" vertical="center" wrapText="1"/>
      <protection locked="0"/>
    </xf>
    <xf numFmtId="0" fontId="27" fillId="4" borderId="20" xfId="0" applyFont="1" applyFill="1" applyBorder="1" applyAlignment="1" applyProtection="1">
      <alignment horizontal="center" vertical="center" wrapText="1"/>
      <protection locked="0"/>
    </xf>
    <xf numFmtId="0" fontId="27" fillId="10" borderId="2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  <xf numFmtId="0" fontId="11" fillId="3" borderId="4" xfId="0" applyFont="1" applyFill="1" applyBorder="1" applyAlignment="1">
      <alignment horizontal="center" vertical="top" wrapText="1"/>
    </xf>
    <xf numFmtId="0" fontId="11" fillId="11" borderId="4" xfId="0" applyFont="1" applyFill="1" applyBorder="1" applyAlignment="1">
      <alignment horizontal="center" wrapText="1"/>
    </xf>
    <xf numFmtId="0" fontId="11" fillId="8" borderId="4" xfId="0" applyFont="1" applyFill="1" applyBorder="1" applyAlignment="1" applyProtection="1">
      <alignment horizontal="center" vertical="center"/>
      <protection locked="0"/>
    </xf>
    <xf numFmtId="0" fontId="31" fillId="4" borderId="4" xfId="0" applyFont="1" applyFill="1" applyBorder="1" applyAlignment="1" applyProtection="1">
      <alignment horizontal="center" vertical="center"/>
      <protection locked="0"/>
    </xf>
    <xf numFmtId="14" fontId="32" fillId="4" borderId="4" xfId="0" applyNumberFormat="1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 wrapText="1"/>
      <protection locked="0"/>
    </xf>
    <xf numFmtId="0" fontId="11" fillId="3" borderId="25" xfId="0" applyFont="1" applyFill="1" applyBorder="1" applyAlignment="1">
      <alignment horizontal="center" vertical="center" wrapText="1"/>
    </xf>
    <xf numFmtId="0" fontId="33" fillId="4" borderId="32" xfId="0" applyFont="1" applyFill="1" applyBorder="1" applyAlignment="1" applyProtection="1">
      <alignment horizontal="left" vertical="center" wrapText="1"/>
      <protection locked="0"/>
    </xf>
    <xf numFmtId="0" fontId="20" fillId="4" borderId="32" xfId="0" applyFont="1" applyFill="1" applyBorder="1" applyAlignment="1" applyProtection="1">
      <alignment horizontal="left" vertical="center" wrapText="1"/>
      <protection locked="0"/>
    </xf>
    <xf numFmtId="0" fontId="35" fillId="5" borderId="4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35" fillId="8" borderId="4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36" fillId="3" borderId="0" xfId="0" applyFont="1" applyFill="1" applyAlignment="1">
      <alignment vertical="center"/>
    </xf>
    <xf numFmtId="0" fontId="37" fillId="4" borderId="4" xfId="0" applyFont="1" applyFill="1" applyBorder="1" applyAlignment="1" applyProtection="1">
      <alignment horizontal="center" vertical="center" wrapText="1"/>
      <protection locked="0"/>
    </xf>
    <xf numFmtId="0" fontId="37" fillId="4" borderId="7" xfId="0" applyFont="1" applyFill="1" applyBorder="1" applyAlignment="1" applyProtection="1">
      <alignment horizontal="center" vertical="center" wrapText="1"/>
      <protection locked="0"/>
    </xf>
    <xf numFmtId="0" fontId="37" fillId="8" borderId="4" xfId="0" applyFont="1" applyFill="1" applyBorder="1" applyAlignment="1">
      <alignment horizontal="center" vertical="center"/>
    </xf>
    <xf numFmtId="0" fontId="37" fillId="3" borderId="25" xfId="0" applyFont="1" applyFill="1" applyBorder="1" applyAlignment="1">
      <alignment horizontal="center" vertical="center"/>
    </xf>
    <xf numFmtId="0" fontId="37" fillId="3" borderId="26" xfId="0" applyFont="1" applyFill="1" applyBorder="1" applyAlignment="1">
      <alignment horizontal="center" vertical="center" wrapText="1"/>
    </xf>
    <xf numFmtId="0" fontId="37" fillId="3" borderId="27" xfId="0" applyFont="1" applyFill="1" applyBorder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37" fillId="3" borderId="7" xfId="0" applyFont="1" applyFill="1" applyBorder="1" applyAlignment="1">
      <alignment horizontal="center" vertical="center" wrapText="1"/>
    </xf>
    <xf numFmtId="0" fontId="37" fillId="3" borderId="10" xfId="0" applyFont="1" applyFill="1" applyBorder="1" applyAlignment="1">
      <alignment horizontal="left" vertical="center" wrapText="1"/>
    </xf>
    <xf numFmtId="0" fontId="37" fillId="3" borderId="13" xfId="0" applyFont="1" applyFill="1" applyBorder="1" applyAlignment="1">
      <alignment horizontal="left" vertical="center" wrapText="1"/>
    </xf>
    <xf numFmtId="0" fontId="30" fillId="4" borderId="32" xfId="0" applyFont="1" applyFill="1" applyBorder="1" applyAlignment="1" applyProtection="1">
      <alignment vertical="center" wrapText="1"/>
      <protection locked="0"/>
    </xf>
    <xf numFmtId="0" fontId="38" fillId="4" borderId="33" xfId="0" applyFont="1" applyFill="1" applyBorder="1" applyAlignment="1" applyProtection="1">
      <alignment horizontal="left" vertical="center" wrapText="1"/>
      <protection locked="0"/>
    </xf>
    <xf numFmtId="0" fontId="20" fillId="4" borderId="34" xfId="0" applyFont="1" applyFill="1" applyBorder="1" applyAlignment="1" applyProtection="1">
      <alignment horizontal="left" vertical="center" wrapText="1"/>
      <protection locked="0"/>
    </xf>
    <xf numFmtId="0" fontId="37" fillId="3" borderId="18" xfId="0" applyFont="1" applyFill="1" applyBorder="1" applyAlignment="1">
      <alignment horizontal="left" vertical="center" wrapText="1"/>
    </xf>
    <xf numFmtId="0" fontId="20" fillId="4" borderId="35" xfId="0" applyFont="1" applyFill="1" applyBorder="1" applyAlignment="1" applyProtection="1">
      <alignment horizontal="left" vertical="center" wrapText="1"/>
      <protection locked="0"/>
    </xf>
    <xf numFmtId="0" fontId="37" fillId="3" borderId="36" xfId="0" applyFont="1" applyFill="1" applyBorder="1" applyAlignment="1">
      <alignment horizontal="left" vertical="center" wrapText="1"/>
    </xf>
    <xf numFmtId="0" fontId="25" fillId="0" borderId="0" xfId="0" applyFont="1" applyAlignment="1" applyProtection="1">
      <alignment horizontal="center"/>
      <protection locked="0"/>
    </xf>
    <xf numFmtId="0" fontId="39" fillId="4" borderId="19" xfId="0" applyFont="1" applyFill="1" applyBorder="1" applyAlignment="1" applyProtection="1">
      <alignment horizontal="center" wrapText="1"/>
      <protection locked="0"/>
    </xf>
    <xf numFmtId="0" fontId="39" fillId="4" borderId="54" xfId="0" applyFont="1" applyFill="1" applyBorder="1" applyAlignment="1" applyProtection="1">
      <alignment horizontal="center" wrapText="1"/>
      <protection locked="0"/>
    </xf>
    <xf numFmtId="0" fontId="34" fillId="0" borderId="0" xfId="0" applyFont="1"/>
    <xf numFmtId="0" fontId="37" fillId="3" borderId="4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7" fillId="3" borderId="4" xfId="0" applyFont="1" applyFill="1" applyBorder="1" applyAlignment="1">
      <alignment horizontal="center" wrapText="1"/>
    </xf>
    <xf numFmtId="0" fontId="37" fillId="11" borderId="4" xfId="0" applyFont="1" applyFill="1" applyBorder="1" applyAlignment="1">
      <alignment horizontal="center" wrapText="1"/>
    </xf>
    <xf numFmtId="0" fontId="40" fillId="9" borderId="8" xfId="0" applyFont="1" applyFill="1" applyBorder="1" applyAlignment="1">
      <alignment horizontal="center" vertical="center" wrapText="1"/>
    </xf>
    <xf numFmtId="0" fontId="40" fillId="10" borderId="9" xfId="0" applyFont="1" applyFill="1" applyBorder="1" applyAlignment="1" applyProtection="1">
      <alignment horizontal="center" vertical="center" wrapText="1"/>
      <protection locked="0"/>
    </xf>
    <xf numFmtId="0" fontId="37" fillId="3" borderId="13" xfId="0" applyFont="1" applyFill="1" applyBorder="1" applyAlignment="1">
      <alignment horizontal="center" vertical="center" wrapText="1"/>
    </xf>
    <xf numFmtId="0" fontId="40" fillId="10" borderId="8" xfId="0" applyFont="1" applyFill="1" applyBorder="1" applyAlignment="1" applyProtection="1">
      <alignment horizontal="center" vertical="center" wrapText="1"/>
      <protection locked="0"/>
    </xf>
    <xf numFmtId="0" fontId="40" fillId="4" borderId="11" xfId="0" applyFont="1" applyFill="1" applyBorder="1" applyAlignment="1" applyProtection="1">
      <alignment horizontal="center" vertical="center" wrapText="1"/>
      <protection locked="0"/>
    </xf>
    <xf numFmtId="0" fontId="40" fillId="9" borderId="11" xfId="0" applyFont="1" applyFill="1" applyBorder="1" applyAlignment="1">
      <alignment horizontal="center" vertical="center" wrapText="1"/>
    </xf>
    <xf numFmtId="0" fontId="37" fillId="3" borderId="10" xfId="0" applyFont="1" applyFill="1" applyBorder="1" applyAlignment="1">
      <alignment horizontal="center" vertical="center" wrapText="1"/>
    </xf>
    <xf numFmtId="0" fontId="40" fillId="10" borderId="14" xfId="0" applyFont="1" applyFill="1" applyBorder="1" applyAlignment="1" applyProtection="1">
      <alignment horizontal="center" vertical="center" wrapText="1"/>
      <protection locked="0"/>
    </xf>
    <xf numFmtId="0" fontId="40" fillId="10" borderId="15" xfId="0" applyFont="1" applyFill="1" applyBorder="1" applyAlignment="1" applyProtection="1">
      <alignment horizontal="center" vertical="center" wrapText="1"/>
      <protection locked="0"/>
    </xf>
    <xf numFmtId="0" fontId="40" fillId="4" borderId="16" xfId="0" applyFont="1" applyFill="1" applyBorder="1" applyAlignment="1" applyProtection="1">
      <alignment horizontal="center" vertical="center" wrapText="1"/>
      <protection locked="0"/>
    </xf>
    <xf numFmtId="0" fontId="40" fillId="10" borderId="17" xfId="0" applyFont="1" applyFill="1" applyBorder="1" applyAlignment="1" applyProtection="1">
      <alignment horizontal="center" vertical="center" wrapText="1"/>
      <protection locked="0"/>
    </xf>
    <xf numFmtId="0" fontId="37" fillId="3" borderId="18" xfId="0" applyFont="1" applyFill="1" applyBorder="1" applyAlignment="1">
      <alignment horizontal="center" vertical="center" wrapText="1"/>
    </xf>
    <xf numFmtId="0" fontId="40" fillId="10" borderId="19" xfId="0" applyFont="1" applyFill="1" applyBorder="1" applyAlignment="1" applyProtection="1">
      <alignment horizontal="center" vertical="center" wrapText="1"/>
      <protection locked="0"/>
    </xf>
    <xf numFmtId="0" fontId="40" fillId="4" borderId="20" xfId="0" applyFont="1" applyFill="1" applyBorder="1" applyAlignment="1" applyProtection="1">
      <alignment horizontal="center" vertical="center" wrapText="1"/>
      <protection locked="0"/>
    </xf>
    <xf numFmtId="0" fontId="40" fillId="10" borderId="20" xfId="0" applyFont="1" applyFill="1" applyBorder="1" applyAlignment="1" applyProtection="1">
      <alignment horizontal="center" vertical="center" wrapText="1"/>
      <protection locked="0"/>
    </xf>
    <xf numFmtId="0" fontId="37" fillId="2" borderId="0" xfId="0" applyFont="1" applyFill="1"/>
    <xf numFmtId="0" fontId="37" fillId="3" borderId="4" xfId="0" applyFont="1" applyFill="1" applyBorder="1" applyAlignment="1">
      <alignment vertical="center" wrapText="1"/>
    </xf>
    <xf numFmtId="0" fontId="41" fillId="2" borderId="0" xfId="0" applyFont="1" applyFill="1"/>
    <xf numFmtId="0" fontId="42" fillId="0" borderId="38" xfId="0" applyFont="1" applyBorder="1" applyAlignment="1">
      <alignment horizontal="left" vertical="center" wrapText="1"/>
    </xf>
    <xf numFmtId="0" fontId="37" fillId="3" borderId="4" xfId="0" applyFont="1" applyFill="1" applyBorder="1" applyAlignment="1">
      <alignment horizontal="center" vertical="center"/>
    </xf>
    <xf numFmtId="0" fontId="37" fillId="3" borderId="41" xfId="0" applyFont="1" applyFill="1" applyBorder="1" applyAlignment="1">
      <alignment horizontal="center" vertical="center"/>
    </xf>
    <xf numFmtId="0" fontId="37" fillId="3" borderId="43" xfId="0" applyFont="1" applyFill="1" applyBorder="1" applyAlignment="1">
      <alignment horizontal="center" vertical="center"/>
    </xf>
    <xf numFmtId="0" fontId="37" fillId="3" borderId="45" xfId="0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 wrapText="1"/>
    </xf>
    <xf numFmtId="0" fontId="43" fillId="3" borderId="10" xfId="0" applyFont="1" applyFill="1" applyBorder="1" applyAlignment="1">
      <alignment horizontal="center" vertical="center"/>
    </xf>
    <xf numFmtId="0" fontId="37" fillId="3" borderId="30" xfId="0" applyFont="1" applyFill="1" applyBorder="1" applyAlignment="1">
      <alignment horizontal="center" vertical="center" wrapText="1"/>
    </xf>
    <xf numFmtId="0" fontId="43" fillId="3" borderId="7" xfId="0" applyFont="1" applyFill="1" applyBorder="1" applyAlignment="1">
      <alignment horizontal="center" vertical="center"/>
    </xf>
    <xf numFmtId="0" fontId="37" fillId="3" borderId="53" xfId="0" applyFont="1" applyFill="1" applyBorder="1" applyAlignment="1">
      <alignment horizontal="center" vertical="center" wrapText="1"/>
    </xf>
    <xf numFmtId="0" fontId="8" fillId="0" borderId="0" xfId="0" applyFont="1"/>
    <xf numFmtId="0" fontId="30" fillId="3" borderId="3" xfId="0" applyFont="1" applyFill="1" applyBorder="1" applyAlignment="1">
      <alignment horizontal="center" vertical="center" wrapText="1"/>
    </xf>
    <xf numFmtId="0" fontId="30" fillId="4" borderId="4" xfId="0" applyFont="1" applyFill="1" applyBorder="1" applyAlignment="1" applyProtection="1">
      <alignment horizontal="center" vertical="center"/>
      <protection locked="0"/>
    </xf>
    <xf numFmtId="0" fontId="35" fillId="3" borderId="3" xfId="0" applyFont="1" applyFill="1" applyBorder="1" applyAlignment="1">
      <alignment horizontal="center" vertical="center"/>
    </xf>
    <xf numFmtId="14" fontId="35" fillId="4" borderId="4" xfId="0" applyNumberFormat="1" applyFont="1" applyFill="1" applyBorder="1" applyAlignment="1" applyProtection="1">
      <alignment horizontal="center" vertical="center"/>
      <protection locked="0"/>
    </xf>
    <xf numFmtId="0" fontId="35" fillId="4" borderId="4" xfId="0" applyFont="1" applyFill="1" applyBorder="1" applyAlignment="1" applyProtection="1">
      <alignment horizontal="center" vertical="center"/>
      <protection locked="0"/>
    </xf>
    <xf numFmtId="0" fontId="44" fillId="9" borderId="8" xfId="0" applyFont="1" applyFill="1" applyBorder="1" applyAlignment="1">
      <alignment horizontal="center" vertical="center" wrapText="1"/>
    </xf>
    <xf numFmtId="0" fontId="44" fillId="10" borderId="9" xfId="0" applyFont="1" applyFill="1" applyBorder="1" applyAlignment="1" applyProtection="1">
      <alignment horizontal="center" vertical="center" wrapText="1"/>
      <protection locked="0"/>
    </xf>
    <xf numFmtId="0" fontId="41" fillId="3" borderId="13" xfId="0" applyFont="1" applyFill="1" applyBorder="1" applyAlignment="1">
      <alignment horizontal="center" vertical="center" wrapText="1"/>
    </xf>
    <xf numFmtId="0" fontId="44" fillId="10" borderId="8" xfId="0" applyFont="1" applyFill="1" applyBorder="1" applyAlignment="1" applyProtection="1">
      <alignment horizontal="center" vertical="center" wrapText="1"/>
      <protection locked="0"/>
    </xf>
    <xf numFmtId="0" fontId="44" fillId="4" borderId="11" xfId="0" applyFont="1" applyFill="1" applyBorder="1" applyAlignment="1" applyProtection="1">
      <alignment horizontal="center" vertical="center" wrapText="1"/>
      <protection locked="0"/>
    </xf>
    <xf numFmtId="0" fontId="44" fillId="9" borderId="11" xfId="0" applyFont="1" applyFill="1" applyBorder="1" applyAlignment="1">
      <alignment horizontal="center" vertical="center" wrapText="1"/>
    </xf>
    <xf numFmtId="0" fontId="41" fillId="3" borderId="10" xfId="0" applyFont="1" applyFill="1" applyBorder="1" applyAlignment="1">
      <alignment horizontal="center" vertical="center" wrapText="1"/>
    </xf>
    <xf numFmtId="0" fontId="44" fillId="10" borderId="14" xfId="0" applyFont="1" applyFill="1" applyBorder="1" applyAlignment="1" applyProtection="1">
      <alignment horizontal="center" vertical="center" wrapText="1"/>
      <protection locked="0"/>
    </xf>
    <xf numFmtId="0" fontId="44" fillId="10" borderId="15" xfId="0" applyFont="1" applyFill="1" applyBorder="1" applyAlignment="1" applyProtection="1">
      <alignment horizontal="center" vertical="center" wrapText="1"/>
      <protection locked="0"/>
    </xf>
    <xf numFmtId="0" fontId="44" fillId="4" borderId="16" xfId="0" applyFont="1" applyFill="1" applyBorder="1" applyAlignment="1" applyProtection="1">
      <alignment horizontal="center" vertical="center" wrapText="1"/>
      <protection locked="0"/>
    </xf>
    <xf numFmtId="0" fontId="44" fillId="10" borderId="17" xfId="0" applyFont="1" applyFill="1" applyBorder="1" applyAlignment="1" applyProtection="1">
      <alignment horizontal="center" vertical="center" wrapText="1"/>
      <protection locked="0"/>
    </xf>
    <xf numFmtId="0" fontId="41" fillId="3" borderId="18" xfId="0" applyFont="1" applyFill="1" applyBorder="1" applyAlignment="1">
      <alignment horizontal="center" vertical="center" wrapText="1"/>
    </xf>
    <xf numFmtId="0" fontId="44" fillId="10" borderId="19" xfId="0" applyFont="1" applyFill="1" applyBorder="1" applyAlignment="1" applyProtection="1">
      <alignment horizontal="center" vertical="center" wrapText="1"/>
      <protection locked="0"/>
    </xf>
    <xf numFmtId="0" fontId="44" fillId="4" borderId="20" xfId="0" applyFont="1" applyFill="1" applyBorder="1" applyAlignment="1" applyProtection="1">
      <alignment horizontal="center" vertical="center" wrapText="1"/>
      <protection locked="0"/>
    </xf>
    <xf numFmtId="0" fontId="41" fillId="3" borderId="7" xfId="0" applyFont="1" applyFill="1" applyBorder="1" applyAlignment="1">
      <alignment horizontal="center" vertical="center" wrapText="1"/>
    </xf>
    <xf numFmtId="0" fontId="44" fillId="10" borderId="20" xfId="0" applyFont="1" applyFill="1" applyBorder="1" applyAlignment="1" applyProtection="1">
      <alignment horizontal="center" vertical="center" wrapText="1"/>
      <protection locked="0"/>
    </xf>
    <xf numFmtId="0" fontId="13" fillId="8" borderId="4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vertical="center"/>
    </xf>
    <xf numFmtId="0" fontId="45" fillId="3" borderId="10" xfId="0" applyFont="1" applyFill="1" applyBorder="1" applyAlignment="1">
      <alignment horizontal="center" vertical="center"/>
    </xf>
    <xf numFmtId="0" fontId="41" fillId="3" borderId="30" xfId="0" applyFont="1" applyFill="1" applyBorder="1" applyAlignment="1">
      <alignment horizontal="center" vertical="center" wrapText="1"/>
    </xf>
    <xf numFmtId="0" fontId="45" fillId="3" borderId="7" xfId="0" applyFont="1" applyFill="1" applyBorder="1" applyAlignment="1">
      <alignment horizontal="center" vertical="center"/>
    </xf>
    <xf numFmtId="0" fontId="41" fillId="3" borderId="53" xfId="0" applyFont="1" applyFill="1" applyBorder="1" applyAlignment="1">
      <alignment horizontal="center" vertical="center" wrapText="1"/>
    </xf>
    <xf numFmtId="0" fontId="41" fillId="3" borderId="4" xfId="0" applyFont="1" applyFill="1" applyBorder="1" applyAlignment="1">
      <alignment horizontal="center" vertical="center" wrapText="1"/>
    </xf>
    <xf numFmtId="0" fontId="33" fillId="4" borderId="37" xfId="0" applyFont="1" applyFill="1" applyBorder="1" applyAlignment="1" applyProtection="1">
      <alignment horizontal="left" vertical="center" wrapText="1"/>
      <protection locked="0"/>
    </xf>
    <xf numFmtId="0" fontId="35" fillId="4" borderId="7" xfId="0" applyFont="1" applyFill="1" applyBorder="1" applyAlignment="1" applyProtection="1">
      <alignment horizontal="center" vertical="center"/>
      <protection locked="0"/>
    </xf>
    <xf numFmtId="0" fontId="35" fillId="3" borderId="7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/>
    </xf>
    <xf numFmtId="0" fontId="11" fillId="0" borderId="39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37" fillId="11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0" fontId="37" fillId="8" borderId="1" xfId="0" applyFont="1" applyFill="1" applyBorder="1" applyAlignment="1">
      <alignment vertical="center"/>
    </xf>
    <xf numFmtId="0" fontId="27" fillId="3" borderId="22" xfId="0" applyFont="1" applyFill="1" applyBorder="1" applyAlignment="1" applyProtection="1">
      <alignment horizontal="center" vertical="center"/>
      <protection locked="0"/>
    </xf>
    <xf numFmtId="0" fontId="47" fillId="4" borderId="32" xfId="0" applyFont="1" applyFill="1" applyBorder="1" applyAlignment="1" applyProtection="1">
      <alignment horizontal="left" vertical="center" wrapText="1"/>
      <protection locked="0"/>
    </xf>
    <xf numFmtId="0" fontId="35" fillId="3" borderId="3" xfId="0" applyFont="1" applyFill="1" applyBorder="1" applyAlignment="1">
      <alignment horizontal="left" vertical="center"/>
    </xf>
    <xf numFmtId="0" fontId="37" fillId="4" borderId="32" xfId="0" applyFont="1" applyFill="1" applyBorder="1" applyAlignment="1" applyProtection="1">
      <alignment horizontal="left" vertical="center" wrapText="1"/>
      <protection locked="0"/>
    </xf>
    <xf numFmtId="0" fontId="33" fillId="4" borderId="31" xfId="0" applyFont="1" applyFill="1" applyBorder="1" applyAlignment="1" applyProtection="1">
      <alignment horizontal="left" vertical="center" wrapText="1"/>
      <protection locked="0"/>
    </xf>
    <xf numFmtId="0" fontId="49" fillId="3" borderId="30" xfId="0" applyFont="1" applyFill="1" applyBorder="1" applyAlignment="1">
      <alignment horizontal="center" vertical="center" wrapText="1"/>
    </xf>
    <xf numFmtId="0" fontId="49" fillId="3" borderId="53" xfId="0" applyFont="1" applyFill="1" applyBorder="1" applyAlignment="1">
      <alignment horizontal="center" vertical="center" wrapText="1"/>
    </xf>
    <xf numFmtId="2" fontId="49" fillId="2" borderId="0" xfId="0" applyNumberFormat="1" applyFont="1" applyFill="1" applyAlignment="1">
      <alignment horizontal="center"/>
    </xf>
    <xf numFmtId="0" fontId="50" fillId="0" borderId="0" xfId="0" applyFont="1" applyAlignment="1">
      <alignment wrapText="1"/>
    </xf>
    <xf numFmtId="0" fontId="50" fillId="2" borderId="0" xfId="0" applyFont="1" applyFill="1"/>
    <xf numFmtId="0" fontId="50" fillId="0" borderId="0" xfId="0" applyFont="1" applyAlignment="1">
      <alignment horizontal="center" vertical="center"/>
    </xf>
    <xf numFmtId="0" fontId="50" fillId="0" borderId="0" xfId="0" applyFont="1"/>
    <xf numFmtId="0" fontId="51" fillId="3" borderId="3" xfId="0" applyFont="1" applyFill="1" applyBorder="1" applyAlignment="1">
      <alignment horizontal="center" vertical="center" wrapText="1"/>
    </xf>
    <xf numFmtId="0" fontId="51" fillId="4" borderId="4" xfId="0" applyFont="1" applyFill="1" applyBorder="1" applyAlignment="1" applyProtection="1">
      <alignment horizontal="center" vertical="center"/>
      <protection locked="0"/>
    </xf>
    <xf numFmtId="0" fontId="52" fillId="3" borderId="3" xfId="0" applyFont="1" applyFill="1" applyBorder="1" applyAlignment="1">
      <alignment horizontal="center" vertical="center"/>
    </xf>
    <xf numFmtId="0" fontId="52" fillId="3" borderId="4" xfId="0" applyFont="1" applyFill="1" applyBorder="1" applyAlignment="1">
      <alignment horizontal="center" vertical="center"/>
    </xf>
    <xf numFmtId="0" fontId="52" fillId="4" borderId="4" xfId="0" applyFont="1" applyFill="1" applyBorder="1" applyAlignment="1" applyProtection="1">
      <alignment horizontal="center" vertical="center"/>
      <protection locked="0"/>
    </xf>
    <xf numFmtId="0" fontId="52" fillId="5" borderId="4" xfId="0" applyFont="1" applyFill="1" applyBorder="1" applyAlignment="1">
      <alignment horizontal="center" vertical="center"/>
    </xf>
    <xf numFmtId="0" fontId="52" fillId="6" borderId="4" xfId="0" applyFont="1" applyFill="1" applyBorder="1" applyAlignment="1">
      <alignment horizontal="center" vertical="center"/>
    </xf>
    <xf numFmtId="0" fontId="52" fillId="7" borderId="4" xfId="0" applyFont="1" applyFill="1" applyBorder="1" applyAlignment="1">
      <alignment horizontal="center" vertical="center"/>
    </xf>
    <xf numFmtId="0" fontId="52" fillId="8" borderId="4" xfId="0" applyFont="1" applyFill="1" applyBorder="1" applyAlignment="1">
      <alignment horizontal="center" vertical="center"/>
    </xf>
    <xf numFmtId="0" fontId="53" fillId="3" borderId="0" xfId="0" applyFont="1" applyFill="1" applyAlignment="1">
      <alignment vertical="center"/>
    </xf>
    <xf numFmtId="0" fontId="52" fillId="4" borderId="7" xfId="0" applyFont="1" applyFill="1" applyBorder="1" applyAlignment="1" applyProtection="1">
      <alignment horizontal="center" vertical="center"/>
      <protection locked="0"/>
    </xf>
    <xf numFmtId="0" fontId="52" fillId="3" borderId="7" xfId="0" applyFont="1" applyFill="1" applyBorder="1" applyAlignment="1">
      <alignment horizontal="center" vertical="center"/>
    </xf>
    <xf numFmtId="0" fontId="53" fillId="3" borderId="0" xfId="0" applyFont="1" applyFill="1" applyAlignment="1">
      <alignment vertical="top"/>
    </xf>
    <xf numFmtId="0" fontId="54" fillId="3" borderId="7" xfId="0" applyFont="1" applyFill="1" applyBorder="1" applyAlignment="1">
      <alignment horizontal="center" vertical="center" wrapText="1"/>
    </xf>
    <xf numFmtId="0" fontId="54" fillId="3" borderId="4" xfId="0" applyFont="1" applyFill="1" applyBorder="1" applyAlignment="1">
      <alignment horizontal="center" vertical="center" wrapText="1"/>
    </xf>
    <xf numFmtId="0" fontId="54" fillId="3" borderId="1" xfId="0" applyFont="1" applyFill="1" applyBorder="1" applyAlignment="1">
      <alignment horizontal="center" vertical="center" wrapText="1"/>
    </xf>
    <xf numFmtId="0" fontId="54" fillId="3" borderId="4" xfId="0" applyFont="1" applyFill="1" applyBorder="1" applyAlignment="1">
      <alignment horizontal="center" wrapText="1"/>
    </xf>
    <xf numFmtId="0" fontId="55" fillId="10" borderId="8" xfId="0" applyFont="1" applyFill="1" applyBorder="1" applyAlignment="1" applyProtection="1">
      <alignment horizontal="center" vertical="center" wrapText="1"/>
      <protection locked="0"/>
    </xf>
    <xf numFmtId="0" fontId="55" fillId="10" borderId="9" xfId="0" applyFont="1" applyFill="1" applyBorder="1" applyAlignment="1" applyProtection="1">
      <alignment horizontal="center" vertical="center" wrapText="1"/>
      <protection locked="0"/>
    </xf>
    <xf numFmtId="0" fontId="54" fillId="3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 applyProtection="1">
      <alignment horizontal="center" vertical="center" wrapText="1"/>
      <protection locked="0"/>
    </xf>
    <xf numFmtId="0" fontId="55" fillId="10" borderId="11" xfId="0" applyFont="1" applyFill="1" applyBorder="1" applyAlignment="1" applyProtection="1">
      <alignment horizontal="center" vertical="center" wrapText="1"/>
      <protection locked="0"/>
    </xf>
    <xf numFmtId="0" fontId="54" fillId="3" borderId="13" xfId="0" applyFont="1" applyFill="1" applyBorder="1" applyAlignment="1">
      <alignment horizontal="center" vertical="center" wrapText="1"/>
    </xf>
    <xf numFmtId="0" fontId="54" fillId="11" borderId="4" xfId="0" applyFont="1" applyFill="1" applyBorder="1" applyAlignment="1">
      <alignment horizontal="center" vertical="center" wrapText="1"/>
    </xf>
    <xf numFmtId="0" fontId="54" fillId="4" borderId="4" xfId="0" applyFont="1" applyFill="1" applyBorder="1" applyAlignment="1" applyProtection="1">
      <alignment horizontal="center" vertical="center" wrapText="1"/>
      <protection locked="0"/>
    </xf>
    <xf numFmtId="0" fontId="54" fillId="3" borderId="18" xfId="0" applyFont="1" applyFill="1" applyBorder="1" applyAlignment="1">
      <alignment horizontal="center" vertical="center" wrapText="1"/>
    </xf>
    <xf numFmtId="0" fontId="54" fillId="4" borderId="7" xfId="0" applyFont="1" applyFill="1" applyBorder="1" applyAlignment="1" applyProtection="1">
      <alignment horizontal="center" vertical="center" wrapText="1"/>
      <protection locked="0"/>
    </xf>
    <xf numFmtId="0" fontId="54" fillId="8" borderId="4" xfId="0" applyFont="1" applyFill="1" applyBorder="1" applyAlignment="1">
      <alignment horizontal="center" vertical="center"/>
    </xf>
    <xf numFmtId="0" fontId="54" fillId="8" borderId="1" xfId="0" applyFont="1" applyFill="1" applyBorder="1" applyAlignment="1">
      <alignment vertical="center"/>
    </xf>
    <xf numFmtId="0" fontId="56" fillId="2" borderId="0" xfId="0" applyFont="1" applyFill="1"/>
    <xf numFmtId="0" fontId="56" fillId="2" borderId="0" xfId="0" applyFont="1" applyFill="1" applyAlignment="1">
      <alignment horizontal="center"/>
    </xf>
    <xf numFmtId="0" fontId="57" fillId="3" borderId="4" xfId="0" applyFont="1" applyFill="1" applyBorder="1" applyAlignment="1">
      <alignment vertical="center" wrapText="1"/>
    </xf>
    <xf numFmtId="0" fontId="57" fillId="3" borderId="4" xfId="0" applyFont="1" applyFill="1" applyBorder="1" applyAlignment="1">
      <alignment horizontal="center" vertical="center" wrapText="1"/>
    </xf>
    <xf numFmtId="0" fontId="57" fillId="3" borderId="4" xfId="0" applyFont="1" applyFill="1" applyBorder="1" applyAlignment="1">
      <alignment horizontal="center" vertical="center"/>
    </xf>
    <xf numFmtId="0" fontId="57" fillId="2" borderId="0" xfId="0" applyFont="1" applyFill="1"/>
    <xf numFmtId="0" fontId="57" fillId="2" borderId="0" xfId="0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57" fillId="2" borderId="0" xfId="0" applyFont="1" applyFill="1" applyAlignment="1">
      <alignment horizontal="center" vertical="center"/>
    </xf>
    <xf numFmtId="0" fontId="60" fillId="0" borderId="0" xfId="0" applyFont="1" applyAlignment="1">
      <alignment horizontal="left" vertical="center" wrapText="1"/>
    </xf>
    <xf numFmtId="0" fontId="57" fillId="3" borderId="25" xfId="0" applyFont="1" applyFill="1" applyBorder="1" applyAlignment="1">
      <alignment horizontal="center" vertical="center"/>
    </xf>
    <xf numFmtId="0" fontId="57" fillId="3" borderId="26" xfId="0" applyFont="1" applyFill="1" applyBorder="1" applyAlignment="1">
      <alignment horizontal="center" vertical="center" wrapText="1"/>
    </xf>
    <xf numFmtId="0" fontId="57" fillId="3" borderId="2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57" fillId="3" borderId="10" xfId="0" applyFont="1" applyFill="1" applyBorder="1" applyAlignment="1">
      <alignment horizontal="left" vertical="center" wrapText="1"/>
    </xf>
    <xf numFmtId="0" fontId="60" fillId="4" borderId="31" xfId="0" applyFont="1" applyFill="1" applyBorder="1" applyAlignment="1" applyProtection="1">
      <alignment horizontal="left" vertical="center" wrapText="1"/>
      <protection locked="0"/>
    </xf>
    <xf numFmtId="0" fontId="57" fillId="3" borderId="13" xfId="0" applyFont="1" applyFill="1" applyBorder="1" applyAlignment="1">
      <alignment horizontal="left" vertical="center" wrapText="1"/>
    </xf>
    <xf numFmtId="0" fontId="60" fillId="4" borderId="32" xfId="0" applyFont="1" applyFill="1" applyBorder="1" applyAlignment="1" applyProtection="1">
      <alignment horizontal="left" vertical="center" wrapText="1"/>
      <protection locked="0"/>
    </xf>
    <xf numFmtId="0" fontId="58" fillId="4" borderId="32" xfId="0" applyFont="1" applyFill="1" applyBorder="1" applyAlignment="1" applyProtection="1">
      <alignment vertical="center" wrapText="1"/>
      <protection locked="0"/>
    </xf>
    <xf numFmtId="0" fontId="61" fillId="0" borderId="0" xfId="0" applyFont="1" applyAlignment="1">
      <alignment vertical="center" wrapText="1"/>
    </xf>
    <xf numFmtId="0" fontId="62" fillId="4" borderId="32" xfId="0" applyFont="1" applyFill="1" applyBorder="1" applyAlignment="1" applyProtection="1">
      <alignment horizontal="left" vertical="center" wrapText="1"/>
      <protection locked="0"/>
    </xf>
    <xf numFmtId="0" fontId="62" fillId="0" borderId="0" xfId="0" applyFont="1" applyAlignment="1">
      <alignment horizontal="left" vertical="center" wrapText="1"/>
    </xf>
    <xf numFmtId="0" fontId="57" fillId="3" borderId="36" xfId="0" applyFont="1" applyFill="1" applyBorder="1" applyAlignment="1">
      <alignment horizontal="left" vertical="center" wrapText="1"/>
    </xf>
    <xf numFmtId="0" fontId="60" fillId="4" borderId="37" xfId="0" applyFont="1" applyFill="1" applyBorder="1" applyAlignment="1" applyProtection="1">
      <alignment horizontal="left" vertical="center" wrapText="1"/>
      <protection locked="0"/>
    </xf>
    <xf numFmtId="0" fontId="63" fillId="0" borderId="38" xfId="0" applyFont="1" applyBorder="1" applyAlignment="1">
      <alignment horizontal="left" vertical="center" wrapText="1"/>
    </xf>
    <xf numFmtId="0" fontId="63" fillId="0" borderId="0" xfId="0" applyFont="1" applyAlignment="1">
      <alignment horizontal="center"/>
    </xf>
    <xf numFmtId="0" fontId="56" fillId="0" borderId="39" xfId="0" applyFont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3" borderId="4" xfId="0" applyFont="1" applyFill="1" applyBorder="1" applyAlignment="1">
      <alignment horizontal="center" vertical="center"/>
    </xf>
    <xf numFmtId="0" fontId="56" fillId="3" borderId="6" xfId="0" applyFont="1" applyFill="1" applyBorder="1" applyAlignment="1">
      <alignment horizontal="center" vertical="center" wrapText="1"/>
    </xf>
    <xf numFmtId="0" fontId="56" fillId="3" borderId="7" xfId="0" applyFont="1" applyFill="1" applyBorder="1" applyAlignment="1">
      <alignment horizontal="center" vertical="center" wrapText="1"/>
    </xf>
    <xf numFmtId="0" fontId="56" fillId="3" borderId="40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41" xfId="0" applyFont="1" applyFill="1" applyBorder="1" applyAlignment="1">
      <alignment horizontal="center" vertical="center"/>
    </xf>
    <xf numFmtId="0" fontId="50" fillId="4" borderId="42" xfId="0" applyFont="1" applyFill="1" applyBorder="1" applyAlignment="1" applyProtection="1">
      <alignment horizontal="center" vertical="center"/>
      <protection locked="0"/>
    </xf>
    <xf numFmtId="0" fontId="50" fillId="4" borderId="28" xfId="0" applyFont="1" applyFill="1" applyBorder="1" applyAlignment="1" applyProtection="1">
      <alignment horizontal="center" vertical="center"/>
      <protection locked="0"/>
    </xf>
    <xf numFmtId="1" fontId="64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64" fillId="4" borderId="28" xfId="0" applyFont="1" applyFill="1" applyBorder="1" applyAlignment="1" applyProtection="1">
      <alignment horizontal="center" vertical="center"/>
      <protection locked="0"/>
    </xf>
    <xf numFmtId="1" fontId="64" fillId="4" borderId="28" xfId="0" applyNumberFormat="1" applyFont="1" applyFill="1" applyBorder="1" applyAlignment="1" applyProtection="1">
      <alignment horizontal="center" vertical="center"/>
      <protection locked="0"/>
    </xf>
    <xf numFmtId="0" fontId="56" fillId="3" borderId="43" xfId="0" applyFont="1" applyFill="1" applyBorder="1" applyAlignment="1">
      <alignment horizontal="center" vertical="center"/>
    </xf>
    <xf numFmtId="0" fontId="50" fillId="4" borderId="44" xfId="0" applyFont="1" applyFill="1" applyBorder="1" applyAlignment="1" applyProtection="1">
      <alignment horizontal="center" vertical="center"/>
      <protection locked="0"/>
    </xf>
    <xf numFmtId="0" fontId="50" fillId="4" borderId="16" xfId="0" applyFont="1" applyFill="1" applyBorder="1" applyAlignment="1" applyProtection="1">
      <alignment horizontal="center" vertical="center"/>
      <protection locked="0"/>
    </xf>
    <xf numFmtId="1" fontId="64" fillId="4" borderId="16" xfId="0" applyNumberFormat="1" applyFont="1" applyFill="1" applyBorder="1" applyAlignment="1" applyProtection="1">
      <alignment horizontal="center" vertical="center" wrapText="1"/>
      <protection locked="0"/>
    </xf>
    <xf numFmtId="0" fontId="64" fillId="4" borderId="16" xfId="0" applyFont="1" applyFill="1" applyBorder="1" applyAlignment="1" applyProtection="1">
      <alignment horizontal="center" vertical="center"/>
      <protection locked="0"/>
    </xf>
    <xf numFmtId="1" fontId="64" fillId="4" borderId="16" xfId="0" applyNumberFormat="1" applyFont="1" applyFill="1" applyBorder="1" applyAlignment="1" applyProtection="1">
      <alignment horizontal="center" vertical="center"/>
      <protection locked="0"/>
    </xf>
    <xf numFmtId="0" fontId="56" fillId="3" borderId="45" xfId="0" applyFont="1" applyFill="1" applyBorder="1" applyAlignment="1">
      <alignment horizontal="center" vertical="center"/>
    </xf>
    <xf numFmtId="0" fontId="50" fillId="4" borderId="46" xfId="0" applyFont="1" applyFill="1" applyBorder="1" applyAlignment="1" applyProtection="1">
      <alignment horizontal="center" vertical="center"/>
      <protection locked="0"/>
    </xf>
    <xf numFmtId="0" fontId="50" fillId="4" borderId="47" xfId="0" applyFont="1" applyFill="1" applyBorder="1" applyAlignment="1" applyProtection="1">
      <alignment horizontal="center" vertical="center"/>
      <protection locked="0"/>
    </xf>
    <xf numFmtId="1" fontId="64" fillId="4" borderId="47" xfId="0" applyNumberFormat="1" applyFont="1" applyFill="1" applyBorder="1" applyAlignment="1" applyProtection="1">
      <alignment horizontal="center" vertical="center" wrapText="1"/>
      <protection locked="0"/>
    </xf>
    <xf numFmtId="0" fontId="64" fillId="4" borderId="47" xfId="0" applyFont="1" applyFill="1" applyBorder="1" applyAlignment="1" applyProtection="1">
      <alignment horizontal="center" vertical="center"/>
      <protection locked="0"/>
    </xf>
    <xf numFmtId="1" fontId="64" fillId="4" borderId="47" xfId="0" applyNumberFormat="1" applyFont="1" applyFill="1" applyBorder="1" applyAlignment="1" applyProtection="1">
      <alignment horizontal="center" vertical="center"/>
      <protection locked="0"/>
    </xf>
    <xf numFmtId="0" fontId="64" fillId="0" borderId="0" xfId="0" applyFont="1" applyAlignment="1">
      <alignment horizontal="center"/>
    </xf>
    <xf numFmtId="0" fontId="54" fillId="3" borderId="2" xfId="0" applyFont="1" applyFill="1" applyBorder="1" applyAlignment="1">
      <alignment horizontal="center" vertical="center" wrapText="1"/>
    </xf>
    <xf numFmtId="164" fontId="54" fillId="3" borderId="50" xfId="0" applyNumberFormat="1" applyFont="1" applyFill="1" applyBorder="1" applyAlignment="1">
      <alignment horizontal="center" vertical="center" wrapText="1"/>
    </xf>
    <xf numFmtId="0" fontId="65" fillId="3" borderId="10" xfId="0" applyFont="1" applyFill="1" applyBorder="1" applyAlignment="1">
      <alignment horizontal="center" vertical="center"/>
    </xf>
    <xf numFmtId="0" fontId="65" fillId="3" borderId="7" xfId="0" applyFont="1" applyFill="1" applyBorder="1" applyAlignment="1">
      <alignment horizontal="center" vertical="center"/>
    </xf>
    <xf numFmtId="0" fontId="66" fillId="4" borderId="19" xfId="0" applyFont="1" applyFill="1" applyBorder="1" applyAlignment="1" applyProtection="1">
      <alignment horizontal="center" wrapText="1"/>
      <protection locked="0"/>
    </xf>
    <xf numFmtId="0" fontId="66" fillId="4" borderId="54" xfId="0" applyFont="1" applyFill="1" applyBorder="1" applyAlignment="1" applyProtection="1">
      <alignment horizontal="center" wrapText="1"/>
      <protection locked="0"/>
    </xf>
    <xf numFmtId="2" fontId="56" fillId="2" borderId="0" xfId="0" applyNumberFormat="1" applyFont="1" applyFill="1" applyAlignment="1">
      <alignment horizontal="center"/>
    </xf>
    <xf numFmtId="0" fontId="56" fillId="0" borderId="0" xfId="0" applyFont="1" applyAlignment="1">
      <alignment horizontal="left" vertical="center" wrapText="1"/>
    </xf>
    <xf numFmtId="0" fontId="56" fillId="2" borderId="0" xfId="0" applyFont="1" applyFill="1" applyAlignment="1">
      <alignment horizontal="left" vertical="center" wrapText="1"/>
    </xf>
    <xf numFmtId="0" fontId="56" fillId="0" borderId="0" xfId="0" applyFont="1" applyAlignment="1">
      <alignment horizontal="center" vertical="center"/>
    </xf>
    <xf numFmtId="0" fontId="50" fillId="0" borderId="16" xfId="0" applyFont="1" applyBorder="1"/>
    <xf numFmtId="0" fontId="64" fillId="2" borderId="0" xfId="0" applyFont="1" applyFill="1" applyAlignment="1">
      <alignment horizontal="center"/>
    </xf>
    <xf numFmtId="0" fontId="63" fillId="4" borderId="51" xfId="0" applyFont="1" applyFill="1" applyBorder="1" applyAlignment="1" applyProtection="1">
      <alignment horizontal="center" vertical="center"/>
      <protection locked="0"/>
    </xf>
    <xf numFmtId="0" fontId="64" fillId="2" borderId="0" xfId="0" applyFont="1" applyFill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63" fillId="4" borderId="52" xfId="0" applyFont="1" applyFill="1" applyBorder="1" applyAlignment="1" applyProtection="1">
      <alignment horizontal="center" vertical="center"/>
      <protection locked="0"/>
    </xf>
    <xf numFmtId="0" fontId="64" fillId="4" borderId="57" xfId="0" applyFont="1" applyFill="1" applyBorder="1" applyAlignment="1" applyProtection="1">
      <alignment horizontal="center" vertical="center"/>
      <protection locked="0"/>
    </xf>
    <xf numFmtId="22" fontId="64" fillId="2" borderId="0" xfId="0" applyNumberFormat="1" applyFont="1" applyFill="1" applyAlignment="1">
      <alignment horizontal="center" vertical="center"/>
    </xf>
    <xf numFmtId="0" fontId="63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8" fillId="6" borderId="4" xfId="0" applyFont="1" applyFill="1" applyBorder="1" applyAlignment="1">
      <alignment horizontal="center" vertical="center"/>
    </xf>
    <xf numFmtId="0" fontId="58" fillId="12" borderId="4" xfId="0" applyFont="1" applyFill="1" applyBorder="1" applyAlignment="1">
      <alignment horizontal="center" vertical="center"/>
    </xf>
    <xf numFmtId="165" fontId="69" fillId="4" borderId="12" xfId="0" applyNumberFormat="1" applyFont="1" applyFill="1" applyBorder="1" applyAlignment="1">
      <alignment horizontal="center" vertical="center" wrapText="1"/>
    </xf>
    <xf numFmtId="0" fontId="70" fillId="4" borderId="61" xfId="0" applyFont="1" applyFill="1" applyBorder="1" applyAlignment="1" applyProtection="1">
      <alignment horizontal="center" vertical="center"/>
      <protection locked="0"/>
    </xf>
    <xf numFmtId="0" fontId="70" fillId="4" borderId="11" xfId="0" applyFont="1" applyFill="1" applyBorder="1" applyAlignment="1" applyProtection="1">
      <alignment horizontal="center" vertical="center"/>
      <protection locked="0"/>
    </xf>
    <xf numFmtId="0" fontId="70" fillId="8" borderId="11" xfId="0" applyFont="1" applyFill="1" applyBorder="1" applyAlignment="1">
      <alignment horizontal="center" vertical="center"/>
    </xf>
    <xf numFmtId="0" fontId="70" fillId="4" borderId="62" xfId="0" applyFont="1" applyFill="1" applyBorder="1" applyAlignment="1" applyProtection="1">
      <alignment horizontal="center" vertical="center"/>
      <protection locked="0"/>
    </xf>
    <xf numFmtId="0" fontId="70" fillId="8" borderId="44" xfId="0" applyFont="1" applyFill="1" applyBorder="1" applyAlignment="1">
      <alignment horizontal="center" vertical="center"/>
    </xf>
    <xf numFmtId="0" fontId="70" fillId="4" borderId="52" xfId="0" applyFont="1" applyFill="1" applyBorder="1" applyAlignment="1" applyProtection="1">
      <alignment horizontal="center" vertical="center"/>
      <protection locked="0"/>
    </xf>
    <xf numFmtId="0" fontId="70" fillId="4" borderId="52" xfId="0" applyFont="1" applyFill="1" applyBorder="1" applyAlignment="1" applyProtection="1">
      <alignment horizontal="center" vertical="center" wrapText="1"/>
      <protection locked="0"/>
    </xf>
    <xf numFmtId="0" fontId="70" fillId="4" borderId="16" xfId="0" applyFont="1" applyFill="1" applyBorder="1" applyAlignment="1" applyProtection="1">
      <alignment horizontal="center" vertical="center"/>
      <protection locked="0"/>
    </xf>
    <xf numFmtId="0" fontId="70" fillId="8" borderId="46" xfId="0" applyFont="1" applyFill="1" applyBorder="1" applyAlignment="1">
      <alignment horizontal="center" vertical="center"/>
    </xf>
    <xf numFmtId="0" fontId="70" fillId="4" borderId="47" xfId="0" applyFont="1" applyFill="1" applyBorder="1" applyAlignment="1" applyProtection="1">
      <alignment horizontal="center" vertical="center"/>
      <protection locked="0"/>
    </xf>
    <xf numFmtId="0" fontId="70" fillId="8" borderId="63" xfId="0" applyFont="1" applyFill="1" applyBorder="1" applyAlignment="1">
      <alignment horizontal="center" vertical="center"/>
    </xf>
    <xf numFmtId="0" fontId="70" fillId="4" borderId="57" xfId="0" applyFont="1" applyFill="1" applyBorder="1" applyAlignment="1" applyProtection="1">
      <alignment horizontal="center" vertical="center"/>
      <protection locked="0"/>
    </xf>
    <xf numFmtId="0" fontId="67" fillId="2" borderId="5" xfId="0" applyFont="1" applyFill="1" applyBorder="1" applyAlignment="1">
      <alignment vertical="center"/>
    </xf>
    <xf numFmtId="0" fontId="67" fillId="2" borderId="0" xfId="0" applyFont="1" applyFill="1" applyAlignment="1">
      <alignment vertical="center"/>
    </xf>
    <xf numFmtId="0" fontId="51" fillId="2" borderId="0" xfId="0" applyFont="1" applyFill="1" applyAlignment="1">
      <alignment vertical="center"/>
    </xf>
    <xf numFmtId="0" fontId="58" fillId="4" borderId="2" xfId="0" applyFont="1" applyFill="1" applyBorder="1" applyAlignment="1" applyProtection="1">
      <alignment vertical="center"/>
      <protection locked="0"/>
    </xf>
    <xf numFmtId="0" fontId="58" fillId="3" borderId="1" xfId="0" applyFont="1" applyFill="1" applyBorder="1" applyAlignment="1">
      <alignment horizontal="center" vertical="center" wrapText="1"/>
    </xf>
    <xf numFmtId="0" fontId="58" fillId="4" borderId="4" xfId="0" applyFont="1" applyFill="1" applyBorder="1" applyAlignment="1" applyProtection="1">
      <alignment horizontal="center" vertical="center"/>
      <protection locked="0"/>
    </xf>
    <xf numFmtId="0" fontId="58" fillId="3" borderId="4" xfId="0" applyFont="1" applyFill="1" applyBorder="1" applyAlignment="1" applyProtection="1">
      <alignment horizontal="center" vertical="center"/>
      <protection locked="0"/>
    </xf>
    <xf numFmtId="0" fontId="58" fillId="2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70" fillId="8" borderId="16" xfId="0" applyFont="1" applyFill="1" applyBorder="1" applyAlignment="1">
      <alignment horizontal="center" vertical="center"/>
    </xf>
    <xf numFmtId="0" fontId="70" fillId="8" borderId="47" xfId="0" applyFont="1" applyFill="1" applyBorder="1" applyAlignment="1">
      <alignment horizontal="center" vertical="center"/>
    </xf>
    <xf numFmtId="0" fontId="71" fillId="4" borderId="4" xfId="0" applyFont="1" applyFill="1" applyBorder="1" applyAlignment="1" applyProtection="1">
      <alignment vertical="center"/>
      <protection locked="0"/>
    </xf>
    <xf numFmtId="0" fontId="72" fillId="3" borderId="4" xfId="0" applyFont="1" applyFill="1" applyBorder="1" applyAlignment="1">
      <alignment horizontal="center" vertical="center" wrapText="1"/>
    </xf>
    <xf numFmtId="0" fontId="50" fillId="3" borderId="41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50" fillId="4" borderId="11" xfId="0" applyFont="1" applyFill="1" applyBorder="1" applyAlignment="1" applyProtection="1">
      <alignment horizontal="center" vertical="center" wrapText="1"/>
      <protection locked="0"/>
    </xf>
    <xf numFmtId="0" fontId="50" fillId="3" borderId="10" xfId="0" applyFont="1" applyFill="1" applyBorder="1" applyAlignment="1">
      <alignment horizontal="center" vertical="center"/>
    </xf>
    <xf numFmtId="1" fontId="50" fillId="3" borderId="64" xfId="0" applyNumberFormat="1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/>
    </xf>
    <xf numFmtId="0" fontId="50" fillId="4" borderId="14" xfId="0" applyFont="1" applyFill="1" applyBorder="1" applyAlignment="1" applyProtection="1">
      <alignment horizontal="center" vertical="center" wrapText="1"/>
      <protection locked="0"/>
    </xf>
    <xf numFmtId="0" fontId="50" fillId="3" borderId="13" xfId="0" applyFont="1" applyFill="1" applyBorder="1" applyAlignment="1">
      <alignment horizontal="center" vertical="center"/>
    </xf>
    <xf numFmtId="0" fontId="50" fillId="4" borderId="14" xfId="0" applyFont="1" applyFill="1" applyBorder="1" applyAlignment="1" applyProtection="1">
      <alignment horizontal="center" vertical="center"/>
      <protection locked="0"/>
    </xf>
    <xf numFmtId="1" fontId="50" fillId="3" borderId="38" xfId="0" applyNumberFormat="1" applyFont="1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/>
    </xf>
    <xf numFmtId="0" fontId="50" fillId="4" borderId="39" xfId="0" applyFont="1" applyFill="1" applyBorder="1" applyAlignment="1" applyProtection="1">
      <alignment horizontal="center" vertical="center" wrapText="1"/>
      <protection locked="0"/>
    </xf>
    <xf numFmtId="0" fontId="50" fillId="4" borderId="17" xfId="0" applyFont="1" applyFill="1" applyBorder="1" applyAlignment="1" applyProtection="1">
      <alignment horizontal="center" vertical="center" wrapText="1"/>
      <protection locked="0"/>
    </xf>
    <xf numFmtId="0" fontId="50" fillId="3" borderId="18" xfId="0" applyFont="1" applyFill="1" applyBorder="1" applyAlignment="1">
      <alignment horizontal="center" vertical="center"/>
    </xf>
    <xf numFmtId="0" fontId="50" fillId="8" borderId="4" xfId="0" applyFont="1" applyFill="1" applyBorder="1" applyAlignment="1">
      <alignment horizontal="center" vertical="center"/>
    </xf>
    <xf numFmtId="0" fontId="50" fillId="3" borderId="64" xfId="0" applyFont="1" applyFill="1" applyBorder="1" applyAlignment="1">
      <alignment horizontal="center" vertical="center" wrapText="1"/>
    </xf>
    <xf numFmtId="0" fontId="50" fillId="4" borderId="11" xfId="0" applyFont="1" applyFill="1" applyBorder="1" applyAlignment="1" applyProtection="1">
      <alignment horizontal="center" vertical="center"/>
      <protection locked="0"/>
    </xf>
    <xf numFmtId="0" fontId="50" fillId="4" borderId="9" xfId="0" applyFont="1" applyFill="1" applyBorder="1" applyAlignment="1" applyProtection="1">
      <alignment horizontal="center" vertical="center" wrapText="1"/>
      <protection locked="0"/>
    </xf>
    <xf numFmtId="0" fontId="50" fillId="3" borderId="12" xfId="0" applyFont="1" applyFill="1" applyBorder="1" applyAlignment="1">
      <alignment horizontal="center" vertical="center"/>
    </xf>
    <xf numFmtId="0" fontId="50" fillId="3" borderId="43" xfId="0" applyFont="1" applyFill="1" applyBorder="1" applyAlignment="1">
      <alignment horizontal="center" vertical="center" wrapText="1"/>
    </xf>
    <xf numFmtId="0" fontId="75" fillId="4" borderId="14" xfId="0" applyFont="1" applyFill="1" applyBorder="1" applyAlignment="1" applyProtection="1">
      <alignment horizontal="center" vertical="center" wrapText="1"/>
      <protection locked="0"/>
    </xf>
    <xf numFmtId="0" fontId="72" fillId="3" borderId="4" xfId="0" applyFont="1" applyFill="1" applyBorder="1" applyAlignment="1">
      <alignment horizontal="center" vertical="center"/>
    </xf>
    <xf numFmtId="1" fontId="50" fillId="3" borderId="34" xfId="0" applyNumberFormat="1" applyFont="1" applyFill="1" applyBorder="1" applyAlignment="1">
      <alignment horizontal="center" vertical="center"/>
    </xf>
    <xf numFmtId="0" fontId="50" fillId="4" borderId="4" xfId="0" applyFont="1" applyFill="1" applyBorder="1" applyAlignment="1" applyProtection="1">
      <alignment horizontal="center" vertical="center"/>
      <protection locked="0"/>
    </xf>
    <xf numFmtId="0" fontId="50" fillId="4" borderId="65" xfId="0" applyFont="1" applyFill="1" applyBorder="1" applyAlignment="1" applyProtection="1">
      <alignment horizontal="center" vertical="center"/>
      <protection locked="0"/>
    </xf>
    <xf numFmtId="14" fontId="50" fillId="4" borderId="66" xfId="0" applyNumberFormat="1" applyFont="1" applyFill="1" applyBorder="1" applyAlignment="1" applyProtection="1">
      <alignment horizontal="center" vertical="center"/>
      <protection locked="0"/>
    </xf>
    <xf numFmtId="0" fontId="50" fillId="4" borderId="29" xfId="0" applyFont="1" applyFill="1" applyBorder="1" applyAlignment="1" applyProtection="1">
      <alignment horizontal="center" vertical="center"/>
      <protection locked="0"/>
    </xf>
    <xf numFmtId="1" fontId="50" fillId="3" borderId="32" xfId="0" applyNumberFormat="1" applyFont="1" applyFill="1" applyBorder="1" applyAlignment="1">
      <alignment horizontal="center" vertical="center"/>
    </xf>
    <xf numFmtId="0" fontId="50" fillId="4" borderId="15" xfId="0" applyFont="1" applyFill="1" applyBorder="1" applyAlignment="1" applyProtection="1">
      <alignment horizontal="center" vertical="center"/>
      <protection locked="0"/>
    </xf>
    <xf numFmtId="14" fontId="50" fillId="4" borderId="16" xfId="0" applyNumberFormat="1" applyFont="1" applyFill="1" applyBorder="1" applyAlignment="1" applyProtection="1">
      <alignment horizontal="center" vertical="center"/>
      <protection locked="0"/>
    </xf>
    <xf numFmtId="14" fontId="50" fillId="4" borderId="11" xfId="0" applyNumberFormat="1" applyFont="1" applyFill="1" applyBorder="1" applyAlignment="1" applyProtection="1">
      <alignment horizontal="center" vertical="center"/>
      <protection locked="0"/>
    </xf>
    <xf numFmtId="0" fontId="72" fillId="4" borderId="16" xfId="0" applyFont="1" applyFill="1" applyBorder="1" applyAlignment="1" applyProtection="1">
      <alignment horizontal="center" vertical="center"/>
      <protection locked="0"/>
    </xf>
    <xf numFmtId="0" fontId="50" fillId="4" borderId="9" xfId="0" applyFont="1" applyFill="1" applyBorder="1" applyAlignment="1" applyProtection="1">
      <alignment horizontal="center" vertical="center"/>
      <protection locked="0"/>
    </xf>
    <xf numFmtId="1" fontId="50" fillId="3" borderId="33" xfId="0" applyNumberFormat="1" applyFont="1" applyFill="1" applyBorder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0" fillId="4" borderId="19" xfId="0" applyFont="1" applyFill="1" applyBorder="1" applyAlignment="1" applyProtection="1">
      <alignment horizontal="center" vertical="center"/>
      <protection locked="0"/>
    </xf>
    <xf numFmtId="0" fontId="50" fillId="4" borderId="20" xfId="0" applyFont="1" applyFill="1" applyBorder="1" applyAlignment="1" applyProtection="1">
      <alignment horizontal="center" vertical="center"/>
      <protection locked="0"/>
    </xf>
    <xf numFmtId="0" fontId="50" fillId="4" borderId="17" xfId="0" applyFont="1" applyFill="1" applyBorder="1" applyAlignment="1" applyProtection="1">
      <alignment horizontal="center" vertical="center"/>
      <protection locked="0"/>
    </xf>
    <xf numFmtId="0" fontId="50" fillId="8" borderId="22" xfId="0" applyFont="1" applyFill="1" applyBorder="1" applyAlignment="1">
      <alignment horizontal="center" vertical="center"/>
    </xf>
    <xf numFmtId="0" fontId="50" fillId="8" borderId="23" xfId="0" applyFont="1" applyFill="1" applyBorder="1" applyAlignment="1">
      <alignment horizontal="center" vertical="center"/>
    </xf>
    <xf numFmtId="0" fontId="50" fillId="8" borderId="2" xfId="0" applyFont="1" applyFill="1" applyBorder="1" applyAlignment="1">
      <alignment horizontal="center" vertical="center"/>
    </xf>
    <xf numFmtId="0" fontId="50" fillId="8" borderId="1" xfId="0" applyFont="1" applyFill="1" applyBorder="1" applyAlignment="1">
      <alignment horizontal="center" vertical="center"/>
    </xf>
    <xf numFmtId="0" fontId="50" fillId="4" borderId="3" xfId="0" applyFont="1" applyFill="1" applyBorder="1" applyAlignment="1" applyProtection="1">
      <alignment horizontal="center" vertical="center"/>
      <protection locked="0"/>
    </xf>
    <xf numFmtId="0" fontId="50" fillId="4" borderId="8" xfId="0" applyFont="1" applyFill="1" applyBorder="1" applyAlignment="1" applyProtection="1">
      <alignment horizontal="center" vertical="center"/>
      <protection locked="0"/>
    </xf>
    <xf numFmtId="1" fontId="50" fillId="3" borderId="10" xfId="0" applyNumberFormat="1" applyFont="1" applyFill="1" applyBorder="1" applyAlignment="1">
      <alignment horizontal="center" vertical="center"/>
    </xf>
    <xf numFmtId="1" fontId="50" fillId="3" borderId="7" xfId="0" applyNumberFormat="1" applyFont="1" applyFill="1" applyBorder="1" applyAlignment="1">
      <alignment horizontal="center" vertical="center"/>
    </xf>
    <xf numFmtId="0" fontId="50" fillId="3" borderId="4" xfId="0" applyFont="1" applyFill="1" applyBorder="1" applyAlignment="1">
      <alignment horizontal="center" vertical="center"/>
    </xf>
    <xf numFmtId="1" fontId="50" fillId="3" borderId="12" xfId="0" applyNumberFormat="1" applyFont="1" applyFill="1" applyBorder="1" applyAlignment="1">
      <alignment horizontal="center" vertical="center"/>
    </xf>
    <xf numFmtId="0" fontId="75" fillId="4" borderId="9" xfId="0" applyFont="1" applyFill="1" applyBorder="1" applyAlignment="1" applyProtection="1">
      <alignment horizontal="center" vertical="center" wrapText="1"/>
      <protection locked="0"/>
    </xf>
    <xf numFmtId="0" fontId="50" fillId="8" borderId="7" xfId="0" applyFont="1" applyFill="1" applyBorder="1" applyAlignment="1">
      <alignment horizontal="center" vertical="center"/>
    </xf>
    <xf numFmtId="0" fontId="50" fillId="8" borderId="13" xfId="0" applyFont="1" applyFill="1" applyBorder="1" applyAlignment="1">
      <alignment horizontal="center" vertical="center"/>
    </xf>
    <xf numFmtId="0" fontId="50" fillId="8" borderId="18" xfId="0" applyFont="1" applyFill="1" applyBorder="1" applyAlignment="1">
      <alignment horizontal="center" vertical="center"/>
    </xf>
    <xf numFmtId="0" fontId="50" fillId="8" borderId="24" xfId="0" applyFont="1" applyFill="1" applyBorder="1" applyAlignment="1">
      <alignment horizontal="center" vertical="center"/>
    </xf>
    <xf numFmtId="14" fontId="50" fillId="4" borderId="20" xfId="0" applyNumberFormat="1" applyFont="1" applyFill="1" applyBorder="1" applyAlignment="1" applyProtection="1">
      <alignment horizontal="center" vertical="center"/>
      <protection locked="0"/>
    </xf>
    <xf numFmtId="0" fontId="50" fillId="8" borderId="3" xfId="0" applyFont="1" applyFill="1" applyBorder="1" applyAlignment="1">
      <alignment horizontal="center" vertical="center"/>
    </xf>
    <xf numFmtId="0" fontId="50" fillId="3" borderId="64" xfId="0" applyFont="1" applyFill="1" applyBorder="1" applyAlignment="1">
      <alignment horizontal="center" vertical="center"/>
    </xf>
    <xf numFmtId="0" fontId="50" fillId="3" borderId="41" xfId="0" applyFont="1" applyFill="1" applyBorder="1" applyAlignment="1">
      <alignment horizontal="center" vertical="center"/>
    </xf>
    <xf numFmtId="166" fontId="50" fillId="4" borderId="9" xfId="1" applyNumberFormat="1" applyFont="1" applyFill="1" applyBorder="1" applyAlignment="1" applyProtection="1">
      <alignment horizontal="center" vertical="center" wrapText="1"/>
      <protection locked="0"/>
    </xf>
    <xf numFmtId="0" fontId="50" fillId="8" borderId="56" xfId="0" applyFont="1" applyFill="1" applyBorder="1" applyAlignment="1">
      <alignment horizontal="center" vertical="center"/>
    </xf>
    <xf numFmtId="0" fontId="50" fillId="4" borderId="68" xfId="0" applyFont="1" applyFill="1" applyBorder="1" applyAlignment="1" applyProtection="1">
      <alignment horizontal="center" vertical="center" wrapText="1"/>
      <protection locked="0"/>
    </xf>
    <xf numFmtId="0" fontId="50" fillId="8" borderId="25" xfId="0" applyFont="1" applyFill="1" applyBorder="1" applyAlignment="1">
      <alignment horizontal="center" vertical="center"/>
    </xf>
    <xf numFmtId="14" fontId="50" fillId="4" borderId="28" xfId="0" applyNumberFormat="1" applyFont="1" applyFill="1" applyBorder="1" applyAlignment="1" applyProtection="1">
      <alignment horizontal="center" vertical="center"/>
      <protection locked="0"/>
    </xf>
    <xf numFmtId="0" fontId="50" fillId="8" borderId="36" xfId="0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9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1" fontId="81" fillId="3" borderId="42" xfId="0" applyNumberFormat="1" applyFont="1" applyFill="1" applyBorder="1" applyAlignment="1">
      <alignment horizontal="center" vertical="center"/>
    </xf>
    <xf numFmtId="0" fontId="82" fillId="3" borderId="28" xfId="0" applyFont="1" applyFill="1" applyBorder="1" applyAlignment="1">
      <alignment horizontal="center" vertical="center"/>
    </xf>
    <xf numFmtId="0" fontId="81" fillId="8" borderId="28" xfId="0" applyFont="1" applyFill="1" applyBorder="1" applyAlignment="1">
      <alignment horizontal="center" vertical="center"/>
    </xf>
    <xf numFmtId="1" fontId="80" fillId="3" borderId="28" xfId="0" applyNumberFormat="1" applyFont="1" applyFill="1" applyBorder="1" applyAlignment="1">
      <alignment horizontal="center" vertical="center" wrapText="1"/>
    </xf>
    <xf numFmtId="0" fontId="81" fillId="6" borderId="11" xfId="0" applyFont="1" applyFill="1" applyBorder="1" applyAlignment="1">
      <alignment horizontal="center" vertical="center"/>
    </xf>
    <xf numFmtId="1" fontId="81" fillId="3" borderId="44" xfId="0" applyNumberFormat="1" applyFont="1" applyFill="1" applyBorder="1" applyAlignment="1">
      <alignment horizontal="center" vertical="center"/>
    </xf>
    <xf numFmtId="0" fontId="82" fillId="3" borderId="16" xfId="0" applyFont="1" applyFill="1" applyBorder="1" applyAlignment="1">
      <alignment horizontal="center" vertical="center"/>
    </xf>
    <xf numFmtId="1" fontId="81" fillId="8" borderId="16" xfId="0" applyNumberFormat="1" applyFont="1" applyFill="1" applyBorder="1" applyAlignment="1">
      <alignment horizontal="center" vertical="center"/>
    </xf>
    <xf numFmtId="1" fontId="80" fillId="3" borderId="16" xfId="0" applyNumberFormat="1" applyFont="1" applyFill="1" applyBorder="1" applyAlignment="1">
      <alignment horizontal="center" vertical="center" wrapText="1"/>
    </xf>
    <xf numFmtId="0" fontId="81" fillId="6" borderId="16" xfId="0" applyFont="1" applyFill="1" applyBorder="1" applyAlignment="1">
      <alignment horizontal="center" vertical="center"/>
    </xf>
    <xf numFmtId="1" fontId="81" fillId="3" borderId="46" xfId="0" applyNumberFormat="1" applyFont="1" applyFill="1" applyBorder="1" applyAlignment="1">
      <alignment horizontal="center" vertical="center"/>
    </xf>
    <xf numFmtId="0" fontId="82" fillId="3" borderId="47" xfId="0" applyFont="1" applyFill="1" applyBorder="1" applyAlignment="1">
      <alignment horizontal="center" vertical="center"/>
    </xf>
    <xf numFmtId="1" fontId="81" fillId="8" borderId="47" xfId="0" applyNumberFormat="1" applyFont="1" applyFill="1" applyBorder="1" applyAlignment="1">
      <alignment horizontal="center" vertical="center"/>
    </xf>
    <xf numFmtId="1" fontId="80" fillId="3" borderId="47" xfId="0" applyNumberFormat="1" applyFont="1" applyFill="1" applyBorder="1" applyAlignment="1">
      <alignment horizontal="center" vertical="center" wrapText="1"/>
    </xf>
    <xf numFmtId="0" fontId="81" fillId="6" borderId="20" xfId="0" applyFont="1" applyFill="1" applyBorder="1" applyAlignment="1">
      <alignment horizontal="center" vertical="center"/>
    </xf>
    <xf numFmtId="165" fontId="80" fillId="13" borderId="55" xfId="0" applyNumberFormat="1" applyFont="1" applyFill="1" applyBorder="1" applyAlignment="1">
      <alignment horizontal="center" vertical="center"/>
    </xf>
    <xf numFmtId="0" fontId="82" fillId="13" borderId="23" xfId="0" applyFont="1" applyFill="1" applyBorder="1" applyAlignment="1">
      <alignment horizontal="center" vertical="center" wrapText="1"/>
    </xf>
    <xf numFmtId="0" fontId="80" fillId="13" borderId="23" xfId="0" applyFont="1" applyFill="1" applyBorder="1" applyAlignment="1">
      <alignment horizontal="center" vertical="center" wrapText="1"/>
    </xf>
    <xf numFmtId="1" fontId="81" fillId="8" borderId="28" xfId="0" applyNumberFormat="1" applyFont="1" applyFill="1" applyBorder="1" applyAlignment="1">
      <alignment horizontal="center" vertical="center"/>
    </xf>
    <xf numFmtId="165" fontId="80" fillId="13" borderId="4" xfId="0" applyNumberFormat="1" applyFont="1" applyFill="1" applyBorder="1" applyAlignment="1">
      <alignment horizontal="center" vertical="center" wrapText="1"/>
    </xf>
    <xf numFmtId="1" fontId="81" fillId="13" borderId="22" xfId="0" applyNumberFormat="1" applyFont="1" applyFill="1" applyBorder="1" applyAlignment="1">
      <alignment horizontal="center" vertical="center"/>
    </xf>
    <xf numFmtId="1" fontId="81" fillId="13" borderId="23" xfId="0" applyNumberFormat="1" applyFont="1" applyFill="1" applyBorder="1" applyAlignment="1">
      <alignment horizontal="center" vertical="center"/>
    </xf>
    <xf numFmtId="165" fontId="80" fillId="13" borderId="3" xfId="0" applyNumberFormat="1" applyFont="1" applyFill="1" applyBorder="1" applyAlignment="1">
      <alignment horizontal="center" vertical="center" wrapText="1"/>
    </xf>
    <xf numFmtId="0" fontId="82" fillId="13" borderId="69" xfId="0" applyFont="1" applyFill="1" applyBorder="1" applyAlignment="1">
      <alignment horizontal="center" vertical="center" wrapText="1"/>
    </xf>
    <xf numFmtId="1" fontId="80" fillId="13" borderId="63" xfId="0" applyNumberFormat="1" applyFont="1" applyFill="1" applyBorder="1" applyAlignment="1">
      <alignment horizontal="center" vertical="center" wrapText="1"/>
    </xf>
    <xf numFmtId="1" fontId="81" fillId="13" borderId="55" xfId="0" applyNumberFormat="1" applyFont="1" applyFill="1" applyBorder="1" applyAlignment="1">
      <alignment horizontal="center" vertical="center"/>
    </xf>
    <xf numFmtId="1" fontId="81" fillId="13" borderId="56" xfId="0" applyNumberFormat="1" applyFont="1" applyFill="1" applyBorder="1" applyAlignment="1">
      <alignment horizontal="center" vertical="center"/>
    </xf>
    <xf numFmtId="1" fontId="80" fillId="13" borderId="70" xfId="0" applyNumberFormat="1" applyFont="1" applyFill="1" applyBorder="1" applyAlignment="1">
      <alignment horizontal="center" vertical="center" wrapText="1"/>
    </xf>
    <xf numFmtId="1" fontId="80" fillId="13" borderId="71" xfId="0" applyNumberFormat="1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 applyProtection="1">
      <alignment horizontal="center" vertical="center" wrapText="1"/>
      <protection locked="0"/>
    </xf>
    <xf numFmtId="0" fontId="68" fillId="4" borderId="4" xfId="0" applyFont="1" applyFill="1" applyBorder="1" applyAlignment="1" applyProtection="1">
      <alignment horizontal="center" vertical="center" wrapText="1"/>
      <protection locked="0"/>
    </xf>
    <xf numFmtId="0" fontId="79" fillId="4" borderId="4" xfId="0" applyFont="1" applyFill="1" applyBorder="1" applyAlignment="1" applyProtection="1">
      <alignment horizontal="center" vertical="center" wrapText="1"/>
      <protection locked="0"/>
    </xf>
    <xf numFmtId="0" fontId="79" fillId="3" borderId="4" xfId="0" applyFont="1" applyFill="1" applyBorder="1" applyAlignment="1">
      <alignment horizontal="center" vertical="center" wrapText="1"/>
    </xf>
    <xf numFmtId="1" fontId="81" fillId="8" borderId="11" xfId="0" applyNumberFormat="1" applyFont="1" applyFill="1" applyBorder="1" applyAlignment="1">
      <alignment horizontal="center" vertical="center" wrapText="1"/>
    </xf>
    <xf numFmtId="0" fontId="81" fillId="4" borderId="62" xfId="0" applyFont="1" applyFill="1" applyBorder="1" applyAlignment="1" applyProtection="1">
      <alignment horizontal="center" vertical="center" wrapText="1"/>
      <protection locked="0"/>
    </xf>
    <xf numFmtId="0" fontId="81" fillId="4" borderId="52" xfId="0" applyFont="1" applyFill="1" applyBorder="1" applyAlignment="1" applyProtection="1">
      <alignment horizontal="center" vertical="center" wrapText="1"/>
      <protection locked="0"/>
    </xf>
    <xf numFmtId="0" fontId="81" fillId="4" borderId="54" xfId="0" applyFont="1" applyFill="1" applyBorder="1" applyAlignment="1" applyProtection="1">
      <alignment horizontal="center" vertical="center" wrapText="1"/>
      <protection locked="0"/>
    </xf>
    <xf numFmtId="0" fontId="82" fillId="4" borderId="52" xfId="0" applyFont="1" applyFill="1" applyBorder="1" applyAlignment="1" applyProtection="1">
      <alignment horizontal="center" vertical="center" wrapText="1"/>
      <protection locked="0"/>
    </xf>
    <xf numFmtId="0" fontId="80" fillId="4" borderId="52" xfId="0" applyFont="1" applyFill="1" applyBorder="1" applyAlignment="1" applyProtection="1">
      <alignment horizontal="center" vertical="center" wrapText="1"/>
      <protection locked="0"/>
    </xf>
    <xf numFmtId="0" fontId="80" fillId="14" borderId="21" xfId="0" applyFont="1" applyFill="1" applyBorder="1" applyAlignment="1">
      <alignment horizontal="center" vertical="center" wrapText="1"/>
    </xf>
    <xf numFmtId="0" fontId="80" fillId="4" borderId="62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 wrapText="1"/>
    </xf>
    <xf numFmtId="0" fontId="81" fillId="4" borderId="72" xfId="0" applyFont="1" applyFill="1" applyBorder="1" applyAlignment="1" applyProtection="1">
      <alignment horizontal="center" vertical="center" wrapText="1"/>
      <protection locked="0"/>
    </xf>
    <xf numFmtId="0" fontId="84" fillId="0" borderId="0" xfId="0" applyFont="1"/>
    <xf numFmtId="0" fontId="68" fillId="3" borderId="4" xfId="0" applyFont="1" applyFill="1" applyBorder="1" applyAlignment="1">
      <alignment horizontal="center" vertical="center" wrapText="1"/>
    </xf>
    <xf numFmtId="0" fontId="68" fillId="3" borderId="1" xfId="0" applyFont="1" applyFill="1" applyBorder="1" applyAlignment="1">
      <alignment horizontal="center" vertical="center" wrapText="1"/>
    </xf>
    <xf numFmtId="0" fontId="68" fillId="3" borderId="4" xfId="0" applyFont="1" applyFill="1" applyBorder="1" applyAlignment="1">
      <alignment horizontal="center" vertical="center"/>
    </xf>
    <xf numFmtId="0" fontId="68" fillId="3" borderId="7" xfId="0" applyFont="1" applyFill="1" applyBorder="1" applyAlignment="1">
      <alignment horizontal="center" vertical="center" wrapText="1"/>
    </xf>
    <xf numFmtId="0" fontId="88" fillId="3" borderId="4" xfId="0" applyFont="1" applyFill="1" applyBorder="1" applyAlignment="1">
      <alignment horizontal="center" vertical="center" wrapText="1"/>
    </xf>
    <xf numFmtId="0" fontId="88" fillId="3" borderId="1" xfId="0" applyFont="1" applyFill="1" applyBorder="1" applyAlignment="1">
      <alignment horizontal="center" vertical="center" wrapText="1"/>
    </xf>
    <xf numFmtId="165" fontId="89" fillId="4" borderId="12" xfId="0" applyNumberFormat="1" applyFont="1" applyFill="1" applyBorder="1" applyAlignment="1" applyProtection="1">
      <alignment horizontal="center" vertical="center" wrapText="1"/>
      <protection locked="0"/>
    </xf>
    <xf numFmtId="2" fontId="90" fillId="6" borderId="8" xfId="0" applyNumberFormat="1" applyFont="1" applyFill="1" applyBorder="1" applyAlignment="1">
      <alignment horizontal="center" vertical="center"/>
    </xf>
    <xf numFmtId="2" fontId="90" fillId="6" borderId="11" xfId="0" applyNumberFormat="1" applyFont="1" applyFill="1" applyBorder="1" applyAlignment="1">
      <alignment horizontal="center" vertical="center"/>
    </xf>
    <xf numFmtId="2" fontId="90" fillId="6" borderId="9" xfId="0" applyNumberFormat="1" applyFont="1" applyFill="1" applyBorder="1" applyAlignment="1">
      <alignment horizontal="center" vertical="center"/>
    </xf>
    <xf numFmtId="2" fontId="90" fillId="8" borderId="10" xfId="0" applyNumberFormat="1" applyFont="1" applyFill="1" applyBorder="1" applyAlignment="1">
      <alignment horizontal="center" vertical="center"/>
    </xf>
    <xf numFmtId="0" fontId="90" fillId="6" borderId="9" xfId="0" applyFont="1" applyFill="1" applyBorder="1" applyAlignment="1">
      <alignment horizontal="center" vertical="center"/>
    </xf>
    <xf numFmtId="2" fontId="90" fillId="8" borderId="13" xfId="0" applyNumberFormat="1" applyFont="1" applyFill="1" applyBorder="1" applyAlignment="1">
      <alignment horizontal="center" vertical="center"/>
    </xf>
    <xf numFmtId="2" fontId="90" fillId="8" borderId="36" xfId="0" applyNumberFormat="1" applyFont="1" applyFill="1" applyBorder="1" applyAlignment="1">
      <alignment horizontal="center" vertical="center"/>
    </xf>
    <xf numFmtId="0" fontId="90" fillId="6" borderId="27" xfId="0" applyFont="1" applyFill="1" applyBorder="1" applyAlignment="1">
      <alignment horizontal="center" vertical="center"/>
    </xf>
    <xf numFmtId="165" fontId="89" fillId="13" borderId="4" xfId="0" applyNumberFormat="1" applyFont="1" applyFill="1" applyBorder="1" applyAlignment="1">
      <alignment horizontal="center" vertical="center" wrapText="1"/>
    </xf>
    <xf numFmtId="2" fontId="90" fillId="13" borderId="22" xfId="0" applyNumberFormat="1" applyFont="1" applyFill="1" applyBorder="1" applyAlignment="1">
      <alignment horizontal="center" vertical="center"/>
    </xf>
    <xf numFmtId="2" fontId="90" fillId="13" borderId="23" xfId="0" applyNumberFormat="1" applyFont="1" applyFill="1" applyBorder="1" applyAlignment="1">
      <alignment horizontal="center" vertical="center"/>
    </xf>
    <xf numFmtId="2" fontId="90" fillId="13" borderId="24" xfId="0" applyNumberFormat="1" applyFont="1" applyFill="1" applyBorder="1" applyAlignment="1">
      <alignment horizontal="center" vertical="center"/>
    </xf>
    <xf numFmtId="2" fontId="90" fillId="13" borderId="3" xfId="0" applyNumberFormat="1" applyFont="1" applyFill="1" applyBorder="1" applyAlignment="1">
      <alignment horizontal="center" vertical="center"/>
    </xf>
    <xf numFmtId="2" fontId="90" fillId="13" borderId="2" xfId="0" applyNumberFormat="1" applyFont="1" applyFill="1" applyBorder="1" applyAlignment="1">
      <alignment horizontal="center" vertical="center"/>
    </xf>
    <xf numFmtId="2" fontId="90" fillId="13" borderId="1" xfId="0" applyNumberFormat="1" applyFont="1" applyFill="1" applyBorder="1" applyAlignment="1">
      <alignment horizontal="center" vertical="center"/>
    </xf>
    <xf numFmtId="2" fontId="90" fillId="8" borderId="12" xfId="0" applyNumberFormat="1" applyFont="1" applyFill="1" applyBorder="1" applyAlignment="1">
      <alignment horizontal="center" vertical="center"/>
    </xf>
    <xf numFmtId="2" fontId="90" fillId="6" borderId="26" xfId="0" applyNumberFormat="1" applyFont="1" applyFill="1" applyBorder="1" applyAlignment="1">
      <alignment horizontal="center" vertical="center"/>
    </xf>
    <xf numFmtId="2" fontId="90" fillId="6" borderId="39" xfId="0" applyNumberFormat="1" applyFont="1" applyFill="1" applyBorder="1" applyAlignment="1">
      <alignment horizontal="center" vertical="center"/>
    </xf>
    <xf numFmtId="2" fontId="90" fillId="6" borderId="27" xfId="0" applyNumberFormat="1" applyFont="1" applyFill="1" applyBorder="1" applyAlignment="1">
      <alignment horizontal="center" vertical="center"/>
    </xf>
    <xf numFmtId="2" fontId="90" fillId="8" borderId="18" xfId="0" applyNumberFormat="1" applyFont="1" applyFill="1" applyBorder="1" applyAlignment="1">
      <alignment horizontal="center" vertical="center"/>
    </xf>
    <xf numFmtId="2" fontId="90" fillId="13" borderId="4" xfId="0" applyNumberFormat="1" applyFont="1" applyFill="1" applyBorder="1" applyAlignment="1">
      <alignment horizontal="center" vertical="center"/>
    </xf>
    <xf numFmtId="165" fontId="91" fillId="13" borderId="4" xfId="0" applyNumberFormat="1" applyFont="1" applyFill="1" applyBorder="1" applyAlignment="1">
      <alignment horizontal="center" vertical="center" wrapText="1"/>
    </xf>
    <xf numFmtId="2" fontId="92" fillId="13" borderId="69" xfId="0" applyNumberFormat="1" applyFont="1" applyFill="1" applyBorder="1" applyAlignment="1">
      <alignment horizontal="center" vertical="center"/>
    </xf>
    <xf numFmtId="2" fontId="92" fillId="13" borderId="63" xfId="0" applyNumberFormat="1" applyFont="1" applyFill="1" applyBorder="1" applyAlignment="1">
      <alignment horizontal="center" vertical="center"/>
    </xf>
    <xf numFmtId="2" fontId="92" fillId="13" borderId="73" xfId="0" applyNumberFormat="1" applyFont="1" applyFill="1" applyBorder="1" applyAlignment="1">
      <alignment horizontal="center" vertical="center"/>
    </xf>
    <xf numFmtId="2" fontId="92" fillId="13" borderId="4" xfId="0" applyNumberFormat="1" applyFont="1" applyFill="1" applyBorder="1" applyAlignment="1">
      <alignment horizontal="center" vertical="center"/>
    </xf>
    <xf numFmtId="0" fontId="88" fillId="3" borderId="7" xfId="0" applyFont="1" applyFill="1" applyBorder="1" applyAlignment="1">
      <alignment horizontal="center" vertical="center" wrapText="1"/>
    </xf>
    <xf numFmtId="1" fontId="90" fillId="8" borderId="10" xfId="0" applyNumberFormat="1" applyFont="1" applyFill="1" applyBorder="1" applyAlignment="1">
      <alignment horizontal="center" vertical="center"/>
    </xf>
    <xf numFmtId="0" fontId="93" fillId="6" borderId="44" xfId="0" applyFont="1" applyFill="1" applyBorder="1" applyAlignment="1">
      <alignment horizontal="center"/>
    </xf>
    <xf numFmtId="0" fontId="93" fillId="6" borderId="52" xfId="0" applyFont="1" applyFill="1" applyBorder="1" applyAlignment="1">
      <alignment horizontal="center"/>
    </xf>
    <xf numFmtId="0" fontId="93" fillId="6" borderId="15" xfId="0" applyFont="1" applyFill="1" applyBorder="1" applyAlignment="1">
      <alignment horizontal="center"/>
    </xf>
    <xf numFmtId="0" fontId="93" fillId="6" borderId="16" xfId="0" applyFont="1" applyFill="1" applyBorder="1" applyAlignment="1">
      <alignment horizontal="center"/>
    </xf>
    <xf numFmtId="1" fontId="90" fillId="8" borderId="58" xfId="0" applyNumberFormat="1" applyFont="1" applyFill="1" applyBorder="1" applyAlignment="1">
      <alignment horizontal="center" vertical="center"/>
    </xf>
    <xf numFmtId="0" fontId="93" fillId="6" borderId="74" xfId="0" applyFont="1" applyFill="1" applyBorder="1" applyAlignment="1">
      <alignment horizontal="center"/>
    </xf>
    <xf numFmtId="0" fontId="93" fillId="6" borderId="54" xfId="0" applyFont="1" applyFill="1" applyBorder="1" applyAlignment="1">
      <alignment horizontal="center"/>
    </xf>
    <xf numFmtId="0" fontId="93" fillId="6" borderId="19" xfId="0" applyFont="1" applyFill="1" applyBorder="1" applyAlignment="1">
      <alignment horizontal="center"/>
    </xf>
    <xf numFmtId="0" fontId="93" fillId="6" borderId="20" xfId="0" applyFont="1" applyFill="1" applyBorder="1" applyAlignment="1">
      <alignment horizontal="center"/>
    </xf>
    <xf numFmtId="1" fontId="90" fillId="8" borderId="5" xfId="0" applyNumberFormat="1" applyFont="1" applyFill="1" applyBorder="1" applyAlignment="1">
      <alignment horizontal="center" vertical="center"/>
    </xf>
    <xf numFmtId="2" fontId="90" fillId="13" borderId="55" xfId="0" applyNumberFormat="1" applyFont="1" applyFill="1" applyBorder="1" applyAlignment="1">
      <alignment horizontal="center" vertical="center"/>
    </xf>
    <xf numFmtId="2" fontId="90" fillId="13" borderId="56" xfId="0" applyNumberFormat="1" applyFont="1" applyFill="1" applyBorder="1" applyAlignment="1">
      <alignment horizontal="center" vertical="center"/>
    </xf>
    <xf numFmtId="0" fontId="93" fillId="6" borderId="61" xfId="0" applyFont="1" applyFill="1" applyBorder="1" applyAlignment="1">
      <alignment horizontal="center"/>
    </xf>
    <xf numFmtId="0" fontId="93" fillId="6" borderId="62" xfId="0" applyFont="1" applyFill="1" applyBorder="1" applyAlignment="1">
      <alignment horizontal="center"/>
    </xf>
    <xf numFmtId="0" fontId="93" fillId="6" borderId="8" xfId="0" applyFont="1" applyFill="1" applyBorder="1" applyAlignment="1">
      <alignment horizontal="center"/>
    </xf>
    <xf numFmtId="0" fontId="93" fillId="6" borderId="11" xfId="0" applyFont="1" applyFill="1" applyBorder="1" applyAlignment="1">
      <alignment horizontal="center"/>
    </xf>
    <xf numFmtId="1" fontId="90" fillId="8" borderId="50" xfId="0" applyNumberFormat="1" applyFont="1" applyFill="1" applyBorder="1" applyAlignment="1">
      <alignment horizontal="center" vertical="center"/>
    </xf>
    <xf numFmtId="1" fontId="90" fillId="8" borderId="30" xfId="0" applyNumberFormat="1" applyFont="1" applyFill="1" applyBorder="1" applyAlignment="1">
      <alignment horizontal="center" vertical="center"/>
    </xf>
    <xf numFmtId="0" fontId="93" fillId="6" borderId="46" xfId="0" applyFont="1" applyFill="1" applyBorder="1" applyAlignment="1">
      <alignment horizontal="center"/>
    </xf>
    <xf numFmtId="0" fontId="93" fillId="6" borderId="57" xfId="0" applyFont="1" applyFill="1" applyBorder="1" applyAlignment="1">
      <alignment horizontal="center"/>
    </xf>
    <xf numFmtId="1" fontId="90" fillId="8" borderId="53" xfId="0" applyNumberFormat="1" applyFont="1" applyFill="1" applyBorder="1" applyAlignment="1">
      <alignment horizontal="center" vertical="center"/>
    </xf>
    <xf numFmtId="0" fontId="93" fillId="6" borderId="14" xfId="0" applyFont="1" applyFill="1" applyBorder="1" applyAlignment="1">
      <alignment horizontal="center"/>
    </xf>
    <xf numFmtId="0" fontId="93" fillId="6" borderId="15" xfId="0" applyFont="1" applyFill="1" applyBorder="1" applyAlignment="1">
      <alignment horizontal="center" vertical="center"/>
    </xf>
    <xf numFmtId="1" fontId="90" fillId="8" borderId="13" xfId="0" applyNumberFormat="1" applyFont="1" applyFill="1" applyBorder="1" applyAlignment="1">
      <alignment horizontal="center" vertical="center"/>
    </xf>
    <xf numFmtId="0" fontId="93" fillId="6" borderId="17" xfId="0" applyFont="1" applyFill="1" applyBorder="1" applyAlignment="1">
      <alignment horizontal="center"/>
    </xf>
    <xf numFmtId="1" fontId="90" fillId="8" borderId="7" xfId="0" applyNumberFormat="1" applyFont="1" applyFill="1" applyBorder="1" applyAlignment="1">
      <alignment horizontal="center" vertical="center"/>
    </xf>
    <xf numFmtId="0" fontId="93" fillId="6" borderId="19" xfId="0" applyFont="1" applyFill="1" applyBorder="1" applyAlignment="1">
      <alignment horizontal="center" vertical="center"/>
    </xf>
    <xf numFmtId="0" fontId="93" fillId="6" borderId="9" xfId="0" applyFont="1" applyFill="1" applyBorder="1" applyAlignment="1">
      <alignment horizontal="center"/>
    </xf>
    <xf numFmtId="1" fontId="90" fillId="8" borderId="12" xfId="0" applyNumberFormat="1" applyFont="1" applyFill="1" applyBorder="1" applyAlignment="1">
      <alignment horizontal="center" vertical="center"/>
    </xf>
    <xf numFmtId="1" fontId="90" fillId="8" borderId="4" xfId="0" applyNumberFormat="1" applyFont="1" applyFill="1" applyBorder="1" applyAlignment="1">
      <alignment horizontal="center" vertical="center"/>
    </xf>
    <xf numFmtId="1" fontId="90" fillId="8" borderId="18" xfId="0" applyNumberFormat="1" applyFont="1" applyFill="1" applyBorder="1" applyAlignment="1">
      <alignment horizontal="center" vertical="center"/>
    </xf>
    <xf numFmtId="0" fontId="93" fillId="6" borderId="14" xfId="0" applyFont="1" applyFill="1" applyBorder="1" applyAlignment="1">
      <alignment horizontal="center" vertical="center"/>
    </xf>
    <xf numFmtId="1" fontId="90" fillId="8" borderId="41" xfId="0" applyNumberFormat="1" applyFont="1" applyFill="1" applyBorder="1" applyAlignment="1">
      <alignment horizontal="center" vertical="center"/>
    </xf>
    <xf numFmtId="1" fontId="90" fillId="6" borderId="16" xfId="0" applyNumberFormat="1" applyFont="1" applyFill="1" applyBorder="1" applyAlignment="1">
      <alignment horizontal="center" vertical="center"/>
    </xf>
    <xf numFmtId="1" fontId="90" fillId="6" borderId="14" xfId="0" applyNumberFormat="1" applyFont="1" applyFill="1" applyBorder="1" applyAlignment="1">
      <alignment horizontal="center" vertical="center"/>
    </xf>
    <xf numFmtId="1" fontId="90" fillId="8" borderId="43" xfId="0" applyNumberFormat="1" applyFont="1" applyFill="1" applyBorder="1" applyAlignment="1">
      <alignment horizontal="center" vertical="center"/>
    </xf>
    <xf numFmtId="0" fontId="93" fillId="6" borderId="17" xfId="0" applyFont="1" applyFill="1" applyBorder="1" applyAlignment="1">
      <alignment horizontal="center" vertical="center"/>
    </xf>
    <xf numFmtId="1" fontId="90" fillId="8" borderId="75" xfId="0" applyNumberFormat="1" applyFont="1" applyFill="1" applyBorder="1" applyAlignment="1">
      <alignment horizontal="center" vertical="center"/>
    </xf>
    <xf numFmtId="0" fontId="93" fillId="6" borderId="9" xfId="0" applyFont="1" applyFill="1" applyBorder="1" applyAlignment="1">
      <alignment horizontal="center" vertical="center"/>
    </xf>
    <xf numFmtId="0" fontId="93" fillId="6" borderId="8" xfId="0" applyFont="1" applyFill="1" applyBorder="1" applyAlignment="1">
      <alignment horizontal="center" vertical="center"/>
    </xf>
    <xf numFmtId="1" fontId="90" fillId="8" borderId="64" xfId="0" applyNumberFormat="1" applyFont="1" applyFill="1" applyBorder="1" applyAlignment="1">
      <alignment horizontal="center" vertical="center"/>
    </xf>
    <xf numFmtId="2" fontId="90" fillId="8" borderId="25" xfId="0" applyNumberFormat="1" applyFont="1" applyFill="1" applyBorder="1" applyAlignment="1">
      <alignment horizontal="center" vertical="center"/>
    </xf>
    <xf numFmtId="1" fontId="90" fillId="8" borderId="38" xfId="0" applyNumberFormat="1" applyFont="1" applyFill="1" applyBorder="1" applyAlignment="1">
      <alignment horizontal="center" vertical="center"/>
    </xf>
    <xf numFmtId="2" fontId="92" fillId="13" borderId="48" xfId="0" applyNumberFormat="1" applyFont="1" applyFill="1" applyBorder="1" applyAlignment="1">
      <alignment horizontal="center" vertical="center"/>
    </xf>
    <xf numFmtId="2" fontId="92" fillId="13" borderId="1" xfId="0" applyNumberFormat="1" applyFont="1" applyFill="1" applyBorder="1" applyAlignment="1">
      <alignment horizontal="center" vertical="center"/>
    </xf>
    <xf numFmtId="2" fontId="92" fillId="13" borderId="70" xfId="0" applyNumberFormat="1" applyFont="1" applyFill="1" applyBorder="1" applyAlignment="1">
      <alignment horizontal="center" vertical="center"/>
    </xf>
    <xf numFmtId="0" fontId="68" fillId="3" borderId="29" xfId="0" applyFont="1" applyFill="1" applyBorder="1" applyAlignment="1">
      <alignment horizontal="center" vertical="center" wrapText="1"/>
    </xf>
    <xf numFmtId="1" fontId="90" fillId="6" borderId="8" xfId="0" applyNumberFormat="1" applyFont="1" applyFill="1" applyBorder="1" applyAlignment="1">
      <alignment horizontal="center" vertical="center"/>
    </xf>
    <xf numFmtId="2" fontId="92" fillId="13" borderId="3" xfId="0" applyNumberFormat="1" applyFont="1" applyFill="1" applyBorder="1" applyAlignment="1">
      <alignment horizontal="center" vertical="center"/>
    </xf>
    <xf numFmtId="0" fontId="94" fillId="11" borderId="7" xfId="0" applyFont="1" applyFill="1" applyBorder="1" applyAlignment="1">
      <alignment horizontal="center" vertical="center" wrapText="1"/>
    </xf>
    <xf numFmtId="1" fontId="90" fillId="6" borderId="12" xfId="0" applyNumberFormat="1" applyFont="1" applyFill="1" applyBorder="1" applyAlignment="1">
      <alignment horizontal="center" vertical="center"/>
    </xf>
    <xf numFmtId="0" fontId="93" fillId="6" borderId="16" xfId="0" applyFont="1" applyFill="1" applyBorder="1" applyAlignment="1">
      <alignment horizontal="center" vertical="center"/>
    </xf>
    <xf numFmtId="167" fontId="90" fillId="8" borderId="58" xfId="0" applyNumberFormat="1" applyFont="1" applyFill="1" applyBorder="1" applyAlignment="1">
      <alignment horizontal="center" vertical="center"/>
    </xf>
    <xf numFmtId="167" fontId="90" fillId="8" borderId="41" xfId="0" applyNumberFormat="1" applyFont="1" applyFill="1" applyBorder="1" applyAlignment="1">
      <alignment horizontal="center" vertical="center"/>
    </xf>
    <xf numFmtId="0" fontId="93" fillId="6" borderId="13" xfId="0" applyFont="1" applyFill="1" applyBorder="1" applyAlignment="1">
      <alignment horizontal="center" vertical="center"/>
    </xf>
    <xf numFmtId="167" fontId="90" fillId="8" borderId="30" xfId="0" applyNumberFormat="1" applyFont="1" applyFill="1" applyBorder="1" applyAlignment="1">
      <alignment horizontal="center" vertical="center"/>
    </xf>
    <xf numFmtId="167" fontId="90" fillId="8" borderId="43" xfId="0" applyNumberFormat="1" applyFont="1" applyFill="1" applyBorder="1" applyAlignment="1">
      <alignment horizontal="center" vertical="center"/>
    </xf>
    <xf numFmtId="0" fontId="93" fillId="6" borderId="20" xfId="0" applyFont="1" applyFill="1" applyBorder="1" applyAlignment="1">
      <alignment horizontal="center" vertical="center"/>
    </xf>
    <xf numFmtId="167" fontId="90" fillId="8" borderId="53" xfId="0" applyNumberFormat="1" applyFont="1" applyFill="1" applyBorder="1" applyAlignment="1">
      <alignment horizontal="center" vertical="center"/>
    </xf>
    <xf numFmtId="167" fontId="90" fillId="8" borderId="45" xfId="0" applyNumberFormat="1" applyFont="1" applyFill="1" applyBorder="1" applyAlignment="1">
      <alignment horizontal="center" vertical="center"/>
    </xf>
    <xf numFmtId="0" fontId="93" fillId="6" borderId="18" xfId="0" applyFont="1" applyFill="1" applyBorder="1" applyAlignment="1">
      <alignment horizontal="center" vertical="center"/>
    </xf>
    <xf numFmtId="167" fontId="90" fillId="8" borderId="10" xfId="0" applyNumberFormat="1" applyFont="1" applyFill="1" applyBorder="1" applyAlignment="1">
      <alignment horizontal="center" vertical="center"/>
    </xf>
    <xf numFmtId="0" fontId="93" fillId="6" borderId="11" xfId="0" applyFont="1" applyFill="1" applyBorder="1" applyAlignment="1">
      <alignment horizontal="center" vertical="center"/>
    </xf>
    <xf numFmtId="0" fontId="93" fillId="6" borderId="12" xfId="0" applyFont="1" applyFill="1" applyBorder="1" applyAlignment="1">
      <alignment horizontal="center" vertical="center"/>
    </xf>
    <xf numFmtId="167" fontId="90" fillId="8" borderId="12" xfId="0" applyNumberFormat="1" applyFont="1" applyFill="1" applyBorder="1" applyAlignment="1">
      <alignment horizontal="center" vertical="center"/>
    </xf>
    <xf numFmtId="167" fontId="90" fillId="8" borderId="25" xfId="0" applyNumberFormat="1" applyFont="1" applyFill="1" applyBorder="1" applyAlignment="1">
      <alignment horizontal="center" vertical="center"/>
    </xf>
    <xf numFmtId="167" fontId="90" fillId="8" borderId="75" xfId="0" applyNumberFormat="1" applyFont="1" applyFill="1" applyBorder="1" applyAlignment="1">
      <alignment horizontal="center" vertical="center"/>
    </xf>
    <xf numFmtId="167" fontId="90" fillId="8" borderId="13" xfId="0" applyNumberFormat="1" applyFont="1" applyFill="1" applyBorder="1" applyAlignment="1">
      <alignment horizontal="center" vertical="center"/>
    </xf>
    <xf numFmtId="167" fontId="90" fillId="8" borderId="36" xfId="0" applyNumberFormat="1" applyFont="1" applyFill="1" applyBorder="1" applyAlignment="1">
      <alignment horizontal="center" vertical="center"/>
    </xf>
    <xf numFmtId="1" fontId="90" fillId="3" borderId="10" xfId="0" applyNumberFormat="1" applyFont="1" applyFill="1" applyBorder="1" applyAlignment="1">
      <alignment horizontal="center" vertical="center"/>
    </xf>
    <xf numFmtId="167" fontId="89" fillId="3" borderId="34" xfId="0" applyNumberFormat="1" applyFont="1" applyFill="1" applyBorder="1" applyAlignment="1">
      <alignment horizontal="center" vertical="center" wrapText="1"/>
    </xf>
    <xf numFmtId="2" fontId="90" fillId="13" borderId="21" xfId="0" applyNumberFormat="1" applyFont="1" applyFill="1" applyBorder="1" applyAlignment="1">
      <alignment horizontal="center" vertical="center"/>
    </xf>
    <xf numFmtId="0" fontId="0" fillId="2" borderId="0" xfId="0" applyFill="1"/>
    <xf numFmtId="0" fontId="96" fillId="4" borderId="32" xfId="0" applyFont="1" applyFill="1" applyBorder="1" applyAlignment="1" applyProtection="1">
      <alignment horizontal="left" vertical="center" wrapText="1"/>
      <protection locked="0"/>
    </xf>
    <xf numFmtId="0" fontId="97" fillId="4" borderId="32" xfId="0" applyFont="1" applyFill="1" applyBorder="1" applyAlignment="1" applyProtection="1">
      <alignment vertical="center" wrapText="1"/>
      <protection locked="0"/>
    </xf>
    <xf numFmtId="0" fontId="47" fillId="4" borderId="31" xfId="0" applyFont="1" applyFill="1" applyBorder="1" applyAlignment="1" applyProtection="1">
      <alignment horizontal="left" vertical="center" wrapText="1"/>
      <protection locked="0"/>
    </xf>
    <xf numFmtId="0" fontId="50" fillId="4" borderId="54" xfId="0" applyFont="1" applyFill="1" applyBorder="1" applyAlignment="1" applyProtection="1">
      <alignment horizontal="center" vertical="center" wrapText="1"/>
      <protection locked="0"/>
    </xf>
    <xf numFmtId="0" fontId="50" fillId="4" borderId="62" xfId="0" applyFont="1" applyFill="1" applyBorder="1" applyAlignment="1" applyProtection="1">
      <alignment horizontal="center" vertical="center" wrapText="1"/>
      <protection locked="0"/>
    </xf>
    <xf numFmtId="0" fontId="96" fillId="4" borderId="35" xfId="0" applyFont="1" applyFill="1" applyBorder="1" applyAlignment="1" applyProtection="1">
      <alignment horizontal="left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/>
      <protection locked="0"/>
    </xf>
    <xf numFmtId="0" fontId="33" fillId="4" borderId="35" xfId="0" applyFont="1" applyFill="1" applyBorder="1" applyAlignment="1" applyProtection="1">
      <alignment horizontal="left" vertical="center" wrapText="1"/>
      <protection locked="0"/>
    </xf>
    <xf numFmtId="0" fontId="4" fillId="4" borderId="14" xfId="0" applyFont="1" applyFill="1" applyBorder="1" applyAlignment="1" applyProtection="1">
      <alignment horizontal="center" vertical="center"/>
      <protection locked="0"/>
    </xf>
    <xf numFmtId="0" fontId="46" fillId="4" borderId="32" xfId="0" applyFont="1" applyFill="1" applyBorder="1" applyAlignment="1" applyProtection="1">
      <alignment vertical="center" wrapText="1"/>
      <protection locked="0"/>
    </xf>
    <xf numFmtId="0" fontId="72" fillId="4" borderId="32" xfId="0" applyFont="1" applyFill="1" applyBorder="1" applyAlignment="1" applyProtection="1">
      <alignment vertical="center" wrapText="1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98" fillId="4" borderId="33" xfId="0" applyFont="1" applyFill="1" applyBorder="1" applyAlignment="1" applyProtection="1">
      <alignment horizontal="left" vertical="center" wrapText="1"/>
      <protection locked="0"/>
    </xf>
    <xf numFmtId="0" fontId="33" fillId="4" borderId="34" xfId="0" applyFont="1" applyFill="1" applyBorder="1" applyAlignment="1" applyProtection="1">
      <alignment horizontal="left" vertical="center" wrapText="1"/>
      <protection locked="0"/>
    </xf>
    <xf numFmtId="0" fontId="99" fillId="4" borderId="29" xfId="0" applyFont="1" applyFill="1" applyBorder="1" applyAlignment="1" applyProtection="1">
      <alignment horizontal="center" vertical="center" wrapText="1"/>
      <protection locked="0"/>
    </xf>
    <xf numFmtId="0" fontId="100" fillId="10" borderId="29" xfId="0" applyFont="1" applyFill="1" applyBorder="1" applyAlignment="1" applyProtection="1">
      <alignment horizontal="center" vertical="center"/>
      <protection locked="0"/>
    </xf>
    <xf numFmtId="0" fontId="101" fillId="4" borderId="32" xfId="0" applyFont="1" applyFill="1" applyBorder="1" applyAlignment="1" applyProtection="1">
      <alignment horizontal="left" vertical="center" wrapText="1"/>
      <protection locked="0"/>
    </xf>
    <xf numFmtId="0" fontId="103" fillId="4" borderId="32" xfId="0" applyFont="1" applyFill="1" applyBorder="1" applyAlignment="1" applyProtection="1">
      <alignment horizontal="left" vertical="center" wrapText="1"/>
      <protection locked="0"/>
    </xf>
    <xf numFmtId="0" fontId="104" fillId="4" borderId="31" xfId="0" applyFont="1" applyFill="1" applyBorder="1" applyAlignment="1" applyProtection="1">
      <alignment horizontal="left" vertical="center" wrapText="1"/>
      <protection locked="0"/>
    </xf>
    <xf numFmtId="0" fontId="105" fillId="4" borderId="32" xfId="0" applyFont="1" applyFill="1" applyBorder="1" applyAlignment="1" applyProtection="1">
      <alignment vertical="center" wrapText="1"/>
      <protection locked="0"/>
    </xf>
    <xf numFmtId="0" fontId="107" fillId="4" borderId="32" xfId="0" applyFont="1" applyFill="1" applyBorder="1" applyAlignment="1" applyProtection="1">
      <alignment horizontal="left" vertical="center" wrapText="1"/>
      <protection locked="0"/>
    </xf>
    <xf numFmtId="0" fontId="109" fillId="4" borderId="14" xfId="0" applyFont="1" applyFill="1" applyBorder="1" applyAlignment="1" applyProtection="1">
      <alignment horizontal="center" vertical="center" wrapText="1"/>
      <protection locked="0"/>
    </xf>
    <xf numFmtId="0" fontId="110" fillId="10" borderId="8" xfId="0" applyFont="1" applyFill="1" applyBorder="1" applyAlignment="1" applyProtection="1">
      <alignment horizontal="center" vertical="center" wrapText="1"/>
      <protection locked="0"/>
    </xf>
    <xf numFmtId="0" fontId="110" fillId="10" borderId="9" xfId="0" applyFont="1" applyFill="1" applyBorder="1" applyAlignment="1" applyProtection="1">
      <alignment horizontal="center" vertical="center" wrapText="1"/>
      <protection locked="0"/>
    </xf>
    <xf numFmtId="0" fontId="111" fillId="3" borderId="10" xfId="0" applyFont="1" applyFill="1" applyBorder="1" applyAlignment="1">
      <alignment horizontal="center" vertical="center" wrapText="1"/>
    </xf>
    <xf numFmtId="0" fontId="110" fillId="4" borderId="11" xfId="0" applyFont="1" applyFill="1" applyBorder="1" applyAlignment="1" applyProtection="1">
      <alignment horizontal="center" vertical="center" wrapText="1"/>
      <protection locked="0"/>
    </xf>
    <xf numFmtId="0" fontId="110" fillId="10" borderId="11" xfId="0" applyFont="1" applyFill="1" applyBorder="1" applyAlignment="1" applyProtection="1">
      <alignment horizontal="center" vertical="center" wrapText="1"/>
      <protection locked="0"/>
    </xf>
    <xf numFmtId="0" fontId="111" fillId="3" borderId="12" xfId="0" applyFont="1" applyFill="1" applyBorder="1" applyAlignment="1">
      <alignment horizontal="center" vertical="center" wrapText="1"/>
    </xf>
    <xf numFmtId="0" fontId="112" fillId="3" borderId="12" xfId="0" applyFont="1" applyFill="1" applyBorder="1" applyAlignment="1">
      <alignment horizontal="center" vertical="center"/>
    </xf>
    <xf numFmtId="164" fontId="111" fillId="3" borderId="50" xfId="0" applyNumberFormat="1" applyFont="1" applyFill="1" applyBorder="1" applyAlignment="1">
      <alignment horizontal="center" vertical="center" wrapText="1"/>
    </xf>
    <xf numFmtId="0" fontId="111" fillId="3" borderId="13" xfId="0" applyFont="1" applyFill="1" applyBorder="1" applyAlignment="1">
      <alignment horizontal="center" vertical="center" wrapText="1"/>
    </xf>
    <xf numFmtId="0" fontId="112" fillId="3" borderId="10" xfId="0" applyFont="1" applyFill="1" applyBorder="1" applyAlignment="1">
      <alignment horizontal="center" vertical="center"/>
    </xf>
    <xf numFmtId="0" fontId="110" fillId="4" borderId="22" xfId="0" applyFont="1" applyFill="1" applyBorder="1" applyAlignment="1" applyProtection="1">
      <alignment horizontal="center" vertical="center"/>
      <protection locked="0"/>
    </xf>
    <xf numFmtId="0" fontId="111" fillId="4" borderId="23" xfId="0" applyFont="1" applyFill="1" applyBorder="1" applyAlignment="1" applyProtection="1">
      <alignment horizontal="center" vertical="center"/>
      <protection locked="0"/>
    </xf>
    <xf numFmtId="0" fontId="111" fillId="3" borderId="4" xfId="0" applyFont="1" applyFill="1" applyBorder="1" applyAlignment="1">
      <alignment horizontal="center" vertical="center" wrapText="1"/>
    </xf>
    <xf numFmtId="0" fontId="112" fillId="3" borderId="24" xfId="0" applyFont="1" applyFill="1" applyBorder="1" applyAlignment="1">
      <alignment horizontal="center" vertical="center"/>
    </xf>
    <xf numFmtId="0" fontId="113" fillId="3" borderId="4" xfId="0" applyFont="1" applyFill="1" applyBorder="1" applyAlignment="1">
      <alignment horizontal="center" vertical="center"/>
    </xf>
    <xf numFmtId="0" fontId="111" fillId="4" borderId="22" xfId="0" applyFont="1" applyFill="1" applyBorder="1" applyAlignment="1" applyProtection="1">
      <alignment horizontal="center" vertical="center"/>
      <protection locked="0"/>
    </xf>
    <xf numFmtId="0" fontId="111" fillId="4" borderId="24" xfId="0" applyFont="1" applyFill="1" applyBorder="1" applyAlignment="1" applyProtection="1">
      <alignment horizontal="center" vertical="center"/>
      <protection locked="0"/>
    </xf>
    <xf numFmtId="0" fontId="111" fillId="4" borderId="4" xfId="0" applyFont="1" applyFill="1" applyBorder="1" applyAlignment="1" applyProtection="1">
      <alignment horizontal="center" vertical="center" wrapText="1"/>
      <protection locked="0"/>
    </xf>
    <xf numFmtId="0" fontId="2" fillId="4" borderId="14" xfId="0" applyFont="1" applyFill="1" applyBorder="1" applyAlignment="1" applyProtection="1">
      <alignment horizontal="center" vertical="center"/>
      <protection locked="0"/>
    </xf>
    <xf numFmtId="14" fontId="114" fillId="4" borderId="4" xfId="0" applyNumberFormat="1" applyFont="1" applyFill="1" applyBorder="1" applyAlignment="1" applyProtection="1">
      <alignment horizontal="center" vertical="center"/>
      <protection locked="0"/>
    </xf>
    <xf numFmtId="14" fontId="102" fillId="4" borderId="4" xfId="0" applyNumberFormat="1" applyFont="1" applyFill="1" applyBorder="1" applyAlignment="1" applyProtection="1">
      <alignment horizontal="center" vertical="center"/>
      <protection locked="0"/>
    </xf>
    <xf numFmtId="14" fontId="116" fillId="4" borderId="4" xfId="0" applyNumberFormat="1" applyFont="1" applyFill="1" applyBorder="1" applyAlignment="1" applyProtection="1">
      <alignment horizontal="center" vertical="center"/>
      <protection locked="0"/>
    </xf>
    <xf numFmtId="14" fontId="117" fillId="4" borderId="4" xfId="0" applyNumberFormat="1" applyFont="1" applyFill="1" applyBorder="1" applyAlignment="1" applyProtection="1">
      <alignment horizontal="center" vertical="center"/>
      <protection locked="0"/>
    </xf>
    <xf numFmtId="0" fontId="118" fillId="4" borderId="4" xfId="0" applyFont="1" applyFill="1" applyBorder="1" applyAlignment="1" applyProtection="1">
      <alignment horizontal="center" vertical="center"/>
      <protection locked="0"/>
    </xf>
    <xf numFmtId="0" fontId="120" fillId="4" borderId="33" xfId="0" applyFont="1" applyFill="1" applyBorder="1" applyAlignment="1" applyProtection="1">
      <alignment horizontal="left" vertical="center" wrapText="1"/>
      <protection locked="0"/>
    </xf>
    <xf numFmtId="0" fontId="121" fillId="4" borderId="14" xfId="0" applyFont="1" applyFill="1" applyBorder="1" applyAlignment="1" applyProtection="1">
      <alignment horizontal="center" vertical="center" wrapText="1"/>
      <protection locked="0"/>
    </xf>
    <xf numFmtId="0" fontId="122" fillId="4" borderId="32" xfId="0" applyFont="1" applyFill="1" applyBorder="1" applyAlignment="1" applyProtection="1">
      <alignment vertical="center" wrapText="1"/>
      <protection locked="0"/>
    </xf>
    <xf numFmtId="0" fontId="123" fillId="3" borderId="4" xfId="0" applyFont="1" applyFill="1" applyBorder="1" applyAlignment="1">
      <alignment horizontal="center" vertical="center" wrapText="1"/>
    </xf>
    <xf numFmtId="165" fontId="124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25" fillId="4" borderId="32" xfId="0" applyFont="1" applyFill="1" applyBorder="1" applyAlignment="1" applyProtection="1">
      <alignment vertical="center" wrapText="1"/>
      <protection locked="0"/>
    </xf>
    <xf numFmtId="0" fontId="34" fillId="4" borderId="32" xfId="0" applyFont="1" applyFill="1" applyBorder="1" applyAlignment="1" applyProtection="1">
      <alignment vertical="center" wrapText="1"/>
      <protection locked="0"/>
    </xf>
    <xf numFmtId="0" fontId="127" fillId="3" borderId="42" xfId="0" applyFont="1" applyFill="1" applyBorder="1" applyAlignment="1" applyProtection="1">
      <alignment horizontal="center" vertical="center"/>
      <protection locked="0"/>
    </xf>
    <xf numFmtId="0" fontId="86" fillId="10" borderId="29" xfId="0" applyFont="1" applyFill="1" applyBorder="1" applyAlignment="1" applyProtection="1">
      <alignment horizontal="center" vertical="center"/>
      <protection locked="0"/>
    </xf>
    <xf numFmtId="0" fontId="94" fillId="3" borderId="10" xfId="0" applyFont="1" applyFill="1" applyBorder="1" applyAlignment="1">
      <alignment horizontal="center" vertical="center"/>
    </xf>
    <xf numFmtId="0" fontId="86" fillId="4" borderId="58" xfId="0" applyFont="1" applyFill="1" applyBorder="1" applyAlignment="1" applyProtection="1">
      <alignment horizontal="center" vertical="center"/>
      <protection locked="0"/>
    </xf>
    <xf numFmtId="0" fontId="127" fillId="3" borderId="44" xfId="0" applyFont="1" applyFill="1" applyBorder="1" applyAlignment="1" applyProtection="1">
      <alignment horizontal="center" vertical="center"/>
      <protection locked="0"/>
    </xf>
    <xf numFmtId="0" fontId="86" fillId="10" borderId="14" xfId="0" applyFont="1" applyFill="1" applyBorder="1" applyAlignment="1" applyProtection="1">
      <alignment horizontal="center" vertical="center"/>
      <protection locked="0"/>
    </xf>
    <xf numFmtId="0" fontId="94" fillId="3" borderId="13" xfId="0" applyFont="1" applyFill="1" applyBorder="1" applyAlignment="1">
      <alignment horizontal="center" vertical="center"/>
    </xf>
    <xf numFmtId="0" fontId="86" fillId="4" borderId="30" xfId="0" applyFont="1" applyFill="1" applyBorder="1" applyAlignment="1" applyProtection="1">
      <alignment horizontal="center" vertical="center"/>
      <protection locked="0"/>
    </xf>
    <xf numFmtId="0" fontId="86" fillId="10" borderId="59" xfId="0" applyFont="1" applyFill="1" applyBorder="1" applyAlignment="1" applyProtection="1">
      <alignment horizontal="center" vertical="center"/>
      <protection locked="0"/>
    </xf>
    <xf numFmtId="0" fontId="94" fillId="3" borderId="36" xfId="0" applyFont="1" applyFill="1" applyBorder="1" applyAlignment="1">
      <alignment horizontal="center" vertical="center"/>
    </xf>
    <xf numFmtId="0" fontId="86" fillId="4" borderId="60" xfId="0" applyFont="1" applyFill="1" applyBorder="1" applyAlignment="1" applyProtection="1">
      <alignment horizontal="center" vertical="center"/>
      <protection locked="0"/>
    </xf>
    <xf numFmtId="168" fontId="102" fillId="4" borderId="4" xfId="0" applyNumberFormat="1" applyFont="1" applyFill="1" applyBorder="1" applyAlignment="1" applyProtection="1">
      <alignment horizontal="center" vertical="center"/>
      <protection locked="0"/>
    </xf>
    <xf numFmtId="165" fontId="91" fillId="4" borderId="12" xfId="0" applyNumberFormat="1" applyFont="1" applyFill="1" applyBorder="1" applyAlignment="1">
      <alignment horizontal="center" vertical="center" wrapText="1"/>
    </xf>
    <xf numFmtId="0" fontId="84" fillId="0" borderId="0" xfId="0" applyFont="1" applyAlignment="1">
      <alignment vertical="center"/>
    </xf>
    <xf numFmtId="165" fontId="78" fillId="4" borderId="12" xfId="0" applyNumberFormat="1" applyFont="1" applyFill="1" applyBorder="1" applyAlignment="1">
      <alignment horizontal="center" vertical="center" wrapText="1"/>
    </xf>
    <xf numFmtId="0" fontId="129" fillId="4" borderId="34" xfId="0" applyFont="1" applyFill="1" applyBorder="1" applyAlignment="1" applyProtection="1">
      <alignment horizontal="left" vertical="center" wrapText="1"/>
      <protection locked="0"/>
    </xf>
    <xf numFmtId="0" fontId="130" fillId="4" borderId="32" xfId="0" applyFont="1" applyFill="1" applyBorder="1" applyAlignment="1" applyProtection="1">
      <alignment vertical="center" wrapText="1"/>
      <protection locked="0"/>
    </xf>
    <xf numFmtId="0" fontId="8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1" xfId="0" applyBorder="1"/>
    <xf numFmtId="0" fontId="86" fillId="3" borderId="1" xfId="0" applyFont="1" applyFill="1" applyBorder="1" applyAlignment="1">
      <alignment horizontal="center" vertical="center"/>
    </xf>
    <xf numFmtId="17" fontId="87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21" xfId="0" applyBorder="1" applyProtection="1">
      <protection locked="0"/>
    </xf>
    <xf numFmtId="0" fontId="86" fillId="3" borderId="1" xfId="0" applyFont="1" applyFill="1" applyBorder="1" applyAlignment="1">
      <alignment horizontal="center" vertical="center" wrapText="1"/>
    </xf>
    <xf numFmtId="0" fontId="86" fillId="4" borderId="1" xfId="0" applyFont="1" applyFill="1" applyBorder="1" applyAlignment="1" applyProtection="1">
      <alignment horizontal="center" vertical="center" wrapText="1"/>
      <protection locked="0"/>
    </xf>
    <xf numFmtId="0" fontId="87" fillId="3" borderId="1" xfId="0" applyFont="1" applyFill="1" applyBorder="1" applyAlignment="1">
      <alignment horizontal="center" vertical="center" wrapText="1"/>
    </xf>
    <xf numFmtId="0" fontId="68" fillId="3" borderId="1" xfId="0" applyFont="1" applyFill="1" applyBorder="1" applyAlignment="1">
      <alignment horizontal="center" vertical="center" wrapText="1"/>
    </xf>
    <xf numFmtId="0" fontId="68" fillId="3" borderId="2" xfId="0" applyFont="1" applyFill="1" applyBorder="1" applyAlignment="1">
      <alignment horizontal="center" vertical="center" wrapText="1"/>
    </xf>
    <xf numFmtId="0" fontId="68" fillId="3" borderId="22" xfId="0" applyFont="1" applyFill="1" applyBorder="1" applyAlignment="1">
      <alignment horizontal="center" vertical="center" wrapText="1"/>
    </xf>
    <xf numFmtId="0" fontId="68" fillId="3" borderId="24" xfId="0" applyFont="1" applyFill="1" applyBorder="1" applyAlignment="1">
      <alignment horizontal="center" vertical="center" wrapText="1"/>
    </xf>
    <xf numFmtId="0" fontId="68" fillId="4" borderId="24" xfId="0" applyFont="1" applyFill="1" applyBorder="1" applyAlignment="1" applyProtection="1">
      <alignment horizontal="center" vertical="center" wrapText="1"/>
      <protection locked="0"/>
    </xf>
    <xf numFmtId="0" fontId="0" fillId="4" borderId="2" xfId="0" applyFill="1" applyBorder="1" applyProtection="1">
      <protection locked="0"/>
    </xf>
    <xf numFmtId="0" fontId="0" fillId="4" borderId="22" xfId="0" applyFill="1" applyBorder="1" applyProtection="1">
      <protection locked="0"/>
    </xf>
    <xf numFmtId="0" fontId="0" fillId="4" borderId="21" xfId="0" applyFill="1" applyBorder="1" applyProtection="1">
      <protection locked="0"/>
    </xf>
    <xf numFmtId="0" fontId="68" fillId="4" borderId="1" xfId="0" applyFont="1" applyFill="1" applyBorder="1" applyAlignment="1" applyProtection="1">
      <alignment horizontal="center" vertical="center" wrapText="1"/>
      <protection locked="0"/>
    </xf>
    <xf numFmtId="0" fontId="67" fillId="3" borderId="20" xfId="0" applyFont="1" applyFill="1" applyBorder="1" applyAlignment="1">
      <alignment horizontal="center" vertical="center"/>
    </xf>
    <xf numFmtId="0" fontId="71" fillId="3" borderId="1" xfId="0" applyFont="1" applyFill="1" applyBorder="1" applyAlignment="1">
      <alignment horizontal="center" vertical="center"/>
    </xf>
    <xf numFmtId="0" fontId="71" fillId="3" borderId="21" xfId="0" applyFont="1" applyFill="1" applyBorder="1" applyAlignment="1">
      <alignment horizontal="center" vertical="center"/>
    </xf>
    <xf numFmtId="0" fontId="71" fillId="4" borderId="1" xfId="0" applyFont="1" applyFill="1" applyBorder="1" applyAlignment="1" applyProtection="1">
      <alignment horizontal="center" vertical="center"/>
      <protection locked="0"/>
    </xf>
    <xf numFmtId="0" fontId="71" fillId="4" borderId="21" xfId="0" applyFont="1" applyFill="1" applyBorder="1" applyAlignment="1" applyProtection="1">
      <alignment horizontal="center" vertical="center"/>
      <protection locked="0"/>
    </xf>
    <xf numFmtId="0" fontId="71" fillId="3" borderId="2" xfId="0" applyFont="1" applyFill="1" applyBorder="1" applyAlignment="1">
      <alignment horizontal="center" vertical="center"/>
    </xf>
    <xf numFmtId="0" fontId="71" fillId="4" borderId="2" xfId="0" applyFont="1" applyFill="1" applyBorder="1" applyAlignment="1" applyProtection="1">
      <alignment horizontal="center" vertical="center"/>
      <protection locked="0"/>
    </xf>
    <xf numFmtId="0" fontId="72" fillId="3" borderId="1" xfId="0" applyFont="1" applyFill="1" applyBorder="1" applyAlignment="1">
      <alignment horizontal="center" vertical="center"/>
    </xf>
    <xf numFmtId="0" fontId="72" fillId="3" borderId="2" xfId="0" applyFont="1" applyFill="1" applyBorder="1" applyAlignment="1">
      <alignment horizontal="center" vertical="center"/>
    </xf>
    <xf numFmtId="0" fontId="72" fillId="3" borderId="21" xfId="0" applyFont="1" applyFill="1" applyBorder="1" applyAlignment="1">
      <alignment horizontal="center" vertical="center"/>
    </xf>
    <xf numFmtId="17" fontId="72" fillId="4" borderId="1" xfId="0" applyNumberFormat="1" applyFont="1" applyFill="1" applyBorder="1" applyAlignment="1" applyProtection="1">
      <alignment horizontal="center" vertical="center"/>
      <protection locked="0"/>
    </xf>
    <xf numFmtId="17" fontId="72" fillId="4" borderId="21" xfId="0" applyNumberFormat="1" applyFont="1" applyFill="1" applyBorder="1" applyAlignment="1" applyProtection="1">
      <alignment horizontal="center" vertical="center"/>
      <protection locked="0"/>
    </xf>
    <xf numFmtId="0" fontId="71" fillId="5" borderId="1" xfId="0" applyFont="1" applyFill="1" applyBorder="1" applyAlignment="1">
      <alignment horizontal="center" vertical="center"/>
    </xf>
    <xf numFmtId="0" fontId="71" fillId="5" borderId="2" xfId="0" applyFont="1" applyFill="1" applyBorder="1" applyAlignment="1">
      <alignment horizontal="center" vertical="center"/>
    </xf>
    <xf numFmtId="0" fontId="71" fillId="5" borderId="21" xfId="0" applyFont="1" applyFill="1" applyBorder="1" applyAlignment="1">
      <alignment horizontal="center" vertical="center"/>
    </xf>
    <xf numFmtId="0" fontId="72" fillId="3" borderId="1" xfId="0" applyFont="1" applyFill="1" applyBorder="1" applyAlignment="1">
      <alignment horizontal="center" vertical="center" wrapText="1"/>
    </xf>
    <xf numFmtId="0" fontId="72" fillId="3" borderId="2" xfId="0" applyFont="1" applyFill="1" applyBorder="1" applyAlignment="1">
      <alignment horizontal="center" vertical="center" wrapText="1"/>
    </xf>
    <xf numFmtId="0" fontId="72" fillId="3" borderId="55" xfId="0" applyFont="1" applyFill="1" applyBorder="1" applyAlignment="1">
      <alignment horizontal="center" vertical="center" wrapText="1"/>
    </xf>
    <xf numFmtId="0" fontId="72" fillId="3" borderId="23" xfId="0" applyFont="1" applyFill="1" applyBorder="1" applyAlignment="1">
      <alignment horizontal="center" vertical="center" wrapText="1"/>
    </xf>
    <xf numFmtId="0" fontId="72" fillId="3" borderId="2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74" fillId="8" borderId="1" xfId="0" applyFont="1" applyFill="1" applyBorder="1" applyAlignment="1">
      <alignment horizontal="center" vertical="center" wrapText="1"/>
    </xf>
    <xf numFmtId="0" fontId="74" fillId="8" borderId="2" xfId="0" applyFont="1" applyFill="1" applyBorder="1" applyAlignment="1">
      <alignment horizontal="center" vertical="center" wrapText="1"/>
    </xf>
    <xf numFmtId="0" fontId="50" fillId="8" borderId="22" xfId="0" applyFont="1" applyFill="1" applyBorder="1" applyAlignment="1">
      <alignment horizontal="center" vertical="center"/>
    </xf>
    <xf numFmtId="0" fontId="50" fillId="8" borderId="23" xfId="0" applyFont="1" applyFill="1" applyBorder="1" applyAlignment="1">
      <alignment horizontal="center" vertical="center"/>
    </xf>
    <xf numFmtId="0" fontId="50" fillId="8" borderId="1" xfId="0" applyFont="1" applyFill="1" applyBorder="1" applyAlignment="1">
      <alignment horizontal="center" vertical="center"/>
    </xf>
    <xf numFmtId="0" fontId="50" fillId="8" borderId="2" xfId="0" applyFont="1" applyFill="1" applyBorder="1" applyAlignment="1">
      <alignment horizontal="center" vertical="center"/>
    </xf>
    <xf numFmtId="0" fontId="50" fillId="8" borderId="21" xfId="0" applyFont="1" applyFill="1" applyBorder="1" applyAlignment="1">
      <alignment horizontal="center" vertical="center"/>
    </xf>
    <xf numFmtId="0" fontId="72" fillId="3" borderId="10" xfId="0" applyFont="1" applyFill="1" applyBorder="1" applyAlignment="1">
      <alignment horizontal="center" vertical="center" wrapText="1"/>
    </xf>
    <xf numFmtId="0" fontId="72" fillId="3" borderId="36" xfId="0" applyFont="1" applyFill="1" applyBorder="1" applyAlignment="1">
      <alignment horizontal="center" vertical="center" wrapText="1"/>
    </xf>
    <xf numFmtId="0" fontId="72" fillId="3" borderId="18" xfId="0" applyFont="1" applyFill="1" applyBorder="1" applyAlignment="1">
      <alignment horizontal="center" vertical="center" wrapText="1"/>
    </xf>
    <xf numFmtId="0" fontId="72" fillId="3" borderId="6" xfId="0" applyFont="1" applyFill="1" applyBorder="1" applyAlignment="1">
      <alignment horizontal="center" vertical="center" wrapText="1"/>
    </xf>
    <xf numFmtId="0" fontId="72" fillId="3" borderId="35" xfId="0" applyFont="1" applyFill="1" applyBorder="1" applyAlignment="1">
      <alignment horizontal="center" vertical="center" wrapText="1"/>
    </xf>
    <xf numFmtId="0" fontId="72" fillId="3" borderId="7" xfId="0" applyFont="1" applyFill="1" applyBorder="1" applyAlignment="1">
      <alignment horizontal="center" vertical="center" wrapText="1"/>
    </xf>
    <xf numFmtId="0" fontId="72" fillId="3" borderId="3" xfId="0" applyFont="1" applyFill="1" applyBorder="1" applyAlignment="1">
      <alignment horizontal="center" vertical="center" wrapText="1"/>
    </xf>
    <xf numFmtId="0" fontId="74" fillId="8" borderId="67" xfId="0" applyFont="1" applyFill="1" applyBorder="1" applyAlignment="1">
      <alignment horizontal="center" vertical="center" wrapText="1"/>
    </xf>
    <xf numFmtId="0" fontId="74" fillId="8" borderId="0" xfId="0" applyFont="1" applyFill="1" applyAlignment="1">
      <alignment horizontal="center" vertical="center" wrapText="1"/>
    </xf>
    <xf numFmtId="0" fontId="74" fillId="8" borderId="48" xfId="0" applyFont="1" applyFill="1" applyBorder="1" applyAlignment="1">
      <alignment horizontal="center" vertical="center" wrapText="1"/>
    </xf>
    <xf numFmtId="0" fontId="72" fillId="3" borderId="10" xfId="0" applyFont="1" applyFill="1" applyBorder="1" applyAlignment="1">
      <alignment horizontal="center" vertical="center"/>
    </xf>
    <xf numFmtId="0" fontId="72" fillId="3" borderId="36" xfId="0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 wrapText="1"/>
    </xf>
    <xf numFmtId="0" fontId="73" fillId="3" borderId="13" xfId="0" applyFont="1" applyFill="1" applyBorder="1" applyAlignment="1">
      <alignment horizontal="center" vertical="center" wrapText="1"/>
    </xf>
    <xf numFmtId="0" fontId="73" fillId="3" borderId="36" xfId="0" applyFont="1" applyFill="1" applyBorder="1" applyAlignment="1">
      <alignment horizontal="center" vertical="center" wrapText="1"/>
    </xf>
    <xf numFmtId="0" fontId="73" fillId="3" borderId="7" xfId="0" applyFont="1" applyFill="1" applyBorder="1" applyAlignment="1">
      <alignment horizontal="center" vertical="center" wrapText="1"/>
    </xf>
    <xf numFmtId="0" fontId="73" fillId="3" borderId="25" xfId="0" applyFont="1" applyFill="1" applyBorder="1" applyAlignment="1">
      <alignment horizontal="center" vertical="center" wrapText="1"/>
    </xf>
    <xf numFmtId="0" fontId="73" fillId="3" borderId="38" xfId="0" applyFont="1" applyFill="1" applyBorder="1" applyAlignment="1">
      <alignment horizontal="center" vertical="center" wrapText="1"/>
    </xf>
    <xf numFmtId="0" fontId="73" fillId="3" borderId="3" xfId="0" applyFont="1" applyFill="1" applyBorder="1" applyAlignment="1">
      <alignment horizontal="center" vertical="center" wrapText="1"/>
    </xf>
    <xf numFmtId="0" fontId="73" fillId="3" borderId="18" xfId="0" applyFont="1" applyFill="1" applyBorder="1" applyAlignment="1">
      <alignment horizontal="center" vertical="center" wrapText="1"/>
    </xf>
    <xf numFmtId="0" fontId="73" fillId="3" borderId="12" xfId="0" applyFont="1" applyFill="1" applyBorder="1" applyAlignment="1">
      <alignment horizontal="center" vertical="center" wrapText="1"/>
    </xf>
    <xf numFmtId="0" fontId="77" fillId="3" borderId="1" xfId="0" applyFont="1" applyFill="1" applyBorder="1" applyAlignment="1">
      <alignment horizontal="center" vertical="center" wrapText="1"/>
    </xf>
    <xf numFmtId="0" fontId="77" fillId="3" borderId="2" xfId="0" applyFont="1" applyFill="1" applyBorder="1" applyAlignment="1">
      <alignment horizontal="center" vertical="center" wrapText="1"/>
    </xf>
    <xf numFmtId="0" fontId="77" fillId="3" borderId="21" xfId="0" applyFont="1" applyFill="1" applyBorder="1" applyAlignment="1">
      <alignment horizontal="center" vertical="center" wrapText="1"/>
    </xf>
    <xf numFmtId="0" fontId="78" fillId="3" borderId="1" xfId="0" applyFont="1" applyFill="1" applyBorder="1" applyAlignment="1">
      <alignment horizontal="center" vertical="center" wrapText="1"/>
    </xf>
    <xf numFmtId="0" fontId="78" fillId="3" borderId="2" xfId="0" applyFont="1" applyFill="1" applyBorder="1" applyAlignment="1">
      <alignment horizontal="center" vertical="center" wrapText="1"/>
    </xf>
    <xf numFmtId="0" fontId="83" fillId="3" borderId="1" xfId="0" applyFont="1" applyFill="1" applyBorder="1" applyAlignment="1">
      <alignment horizontal="center" vertical="center" wrapText="1"/>
    </xf>
    <xf numFmtId="0" fontId="83" fillId="3" borderId="21" xfId="0" applyFont="1" applyFill="1" applyBorder="1" applyAlignment="1">
      <alignment horizontal="center" vertical="center" wrapText="1"/>
    </xf>
    <xf numFmtId="17" fontId="8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3" fillId="4" borderId="21" xfId="0" applyFont="1" applyFill="1" applyBorder="1" applyAlignment="1" applyProtection="1">
      <alignment horizontal="center" vertical="center" wrapText="1"/>
      <protection locked="0"/>
    </xf>
    <xf numFmtId="0" fontId="83" fillId="3" borderId="2" xfId="0" applyFont="1" applyFill="1" applyBorder="1" applyAlignment="1">
      <alignment horizontal="center" vertical="center" wrapText="1"/>
    </xf>
    <xf numFmtId="0" fontId="83" fillId="4" borderId="1" xfId="0" applyFont="1" applyFill="1" applyBorder="1" applyAlignment="1" applyProtection="1">
      <alignment horizontal="center" vertical="center" wrapText="1"/>
      <protection locked="0"/>
    </xf>
    <xf numFmtId="0" fontId="78" fillId="3" borderId="21" xfId="0" applyFont="1" applyFill="1" applyBorder="1" applyAlignment="1">
      <alignment horizontal="center" vertical="center" wrapText="1"/>
    </xf>
    <xf numFmtId="0" fontId="58" fillId="6" borderId="1" xfId="0" applyFont="1" applyFill="1" applyBorder="1" applyAlignment="1">
      <alignment horizontal="center" vertical="center" wrapText="1"/>
    </xf>
    <xf numFmtId="0" fontId="58" fillId="6" borderId="2" xfId="0" applyFont="1" applyFill="1" applyBorder="1" applyAlignment="1">
      <alignment horizontal="center" vertical="center"/>
    </xf>
    <xf numFmtId="0" fontId="58" fillId="6" borderId="21" xfId="0" applyFont="1" applyFill="1" applyBorder="1" applyAlignment="1">
      <alignment horizontal="center" vertical="center"/>
    </xf>
    <xf numFmtId="0" fontId="58" fillId="12" borderId="55" xfId="0" applyFont="1" applyFill="1" applyBorder="1" applyAlignment="1">
      <alignment horizontal="center" vertical="center"/>
    </xf>
    <xf numFmtId="0" fontId="58" fillId="12" borderId="23" xfId="0" applyFont="1" applyFill="1" applyBorder="1" applyAlignment="1">
      <alignment horizontal="center" vertical="center"/>
    </xf>
    <xf numFmtId="0" fontId="58" fillId="12" borderId="56" xfId="0" applyFont="1" applyFill="1" applyBorder="1" applyAlignment="1">
      <alignment horizontal="center" vertical="center"/>
    </xf>
    <xf numFmtId="0" fontId="128" fillId="3" borderId="41" xfId="0" applyFont="1" applyFill="1" applyBorder="1" applyAlignment="1">
      <alignment horizontal="center" vertical="center"/>
    </xf>
    <xf numFmtId="0" fontId="128" fillId="3" borderId="45" xfId="0" applyFont="1" applyFill="1" applyBorder="1" applyAlignment="1">
      <alignment horizontal="center" vertical="center"/>
    </xf>
    <xf numFmtId="0" fontId="58" fillId="3" borderId="41" xfId="0" applyFont="1" applyFill="1" applyBorder="1" applyAlignment="1">
      <alignment horizontal="center" vertical="center"/>
    </xf>
    <xf numFmtId="0" fontId="58" fillId="3" borderId="45" xfId="0" applyFont="1" applyFill="1" applyBorder="1" applyAlignment="1">
      <alignment horizontal="center" vertical="center"/>
    </xf>
    <xf numFmtId="0" fontId="67" fillId="3" borderId="1" xfId="0" applyFont="1" applyFill="1" applyBorder="1" applyAlignment="1">
      <alignment horizontal="center" vertical="center"/>
    </xf>
    <xf numFmtId="0" fontId="67" fillId="3" borderId="2" xfId="0" applyFont="1" applyFill="1" applyBorder="1" applyAlignment="1">
      <alignment horizontal="center" vertical="center"/>
    </xf>
    <xf numFmtId="0" fontId="67" fillId="3" borderId="21" xfId="0" applyFont="1" applyFill="1" applyBorder="1" applyAlignment="1">
      <alignment horizontal="center" vertical="center"/>
    </xf>
    <xf numFmtId="0" fontId="68" fillId="3" borderId="1" xfId="0" applyFont="1" applyFill="1" applyBorder="1" applyAlignment="1">
      <alignment horizontal="center" vertical="center"/>
    </xf>
    <xf numFmtId="0" fontId="68" fillId="3" borderId="2" xfId="0" applyFont="1" applyFill="1" applyBorder="1" applyAlignment="1">
      <alignment horizontal="center" vertical="center"/>
    </xf>
    <xf numFmtId="0" fontId="68" fillId="3" borderId="21" xfId="0" applyFont="1" applyFill="1" applyBorder="1" applyAlignment="1">
      <alignment horizontal="center" vertical="center"/>
    </xf>
    <xf numFmtId="0" fontId="58" fillId="3" borderId="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21" xfId="0" applyFont="1" applyFill="1" applyBorder="1" applyAlignment="1">
      <alignment horizontal="center" vertical="center"/>
    </xf>
    <xf numFmtId="0" fontId="58" fillId="4" borderId="1" xfId="0" applyFont="1" applyFill="1" applyBorder="1" applyAlignment="1" applyProtection="1">
      <alignment horizontal="center" vertical="center"/>
      <protection locked="0"/>
    </xf>
    <xf numFmtId="0" fontId="58" fillId="4" borderId="2" xfId="0" applyFont="1" applyFill="1" applyBorder="1" applyAlignment="1" applyProtection="1">
      <alignment horizontal="center" vertical="center"/>
      <protection locked="0"/>
    </xf>
    <xf numFmtId="0" fontId="51" fillId="4" borderId="44" xfId="0" applyFont="1" applyFill="1" applyBorder="1" applyAlignment="1" applyProtection="1">
      <alignment horizontal="center" wrapText="1"/>
      <protection locked="0"/>
    </xf>
    <xf numFmtId="0" fontId="51" fillId="4" borderId="52" xfId="0" applyFont="1" applyFill="1" applyBorder="1" applyAlignment="1" applyProtection="1">
      <alignment horizontal="center" wrapText="1"/>
      <protection locked="0"/>
    </xf>
    <xf numFmtId="0" fontId="66" fillId="4" borderId="44" xfId="0" applyFont="1" applyFill="1" applyBorder="1" applyAlignment="1" applyProtection="1">
      <alignment horizontal="center" wrapText="1"/>
      <protection locked="0"/>
    </xf>
    <xf numFmtId="0" fontId="66" fillId="4" borderId="52" xfId="0" applyFont="1" applyFill="1" applyBorder="1" applyAlignment="1" applyProtection="1">
      <alignment horizontal="center" wrapText="1"/>
      <protection locked="0"/>
    </xf>
    <xf numFmtId="0" fontId="51" fillId="3" borderId="1" xfId="0" applyFont="1" applyFill="1" applyBorder="1" applyAlignment="1">
      <alignment horizontal="center" vertical="center"/>
    </xf>
    <xf numFmtId="0" fontId="51" fillId="3" borderId="2" xfId="0" applyFont="1" applyFill="1" applyBorder="1" applyAlignment="1">
      <alignment horizontal="center" vertical="center"/>
    </xf>
    <xf numFmtId="0" fontId="51" fillId="3" borderId="21" xfId="0" applyFont="1" applyFill="1" applyBorder="1" applyAlignment="1">
      <alignment horizontal="center" vertical="center"/>
    </xf>
    <xf numFmtId="0" fontId="51" fillId="3" borderId="0" xfId="0" applyFont="1" applyFill="1" applyAlignment="1">
      <alignment horizontal="center"/>
    </xf>
    <xf numFmtId="0" fontId="51" fillId="3" borderId="5" xfId="0" applyFont="1" applyFill="1" applyBorder="1" applyAlignment="1">
      <alignment horizontal="center"/>
    </xf>
    <xf numFmtId="0" fontId="51" fillId="3" borderId="6" xfId="0" applyFont="1" applyFill="1" applyBorder="1" applyAlignment="1">
      <alignment horizontal="center"/>
    </xf>
    <xf numFmtId="0" fontId="54" fillId="3" borderId="40" xfId="0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51" fillId="4" borderId="42" xfId="0" applyFont="1" applyFill="1" applyBorder="1" applyAlignment="1" applyProtection="1">
      <alignment horizontal="center" wrapText="1"/>
      <protection locked="0"/>
    </xf>
    <xf numFmtId="0" fontId="51" fillId="4" borderId="51" xfId="0" applyFont="1" applyFill="1" applyBorder="1" applyAlignment="1" applyProtection="1">
      <alignment horizontal="center" wrapText="1"/>
      <protection locked="0"/>
    </xf>
    <xf numFmtId="0" fontId="59" fillId="3" borderId="1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59" fillId="3" borderId="21" xfId="0" applyFont="1" applyFill="1" applyBorder="1" applyAlignment="1">
      <alignment horizontal="center" vertical="center"/>
    </xf>
    <xf numFmtId="0" fontId="52" fillId="3" borderId="5" xfId="0" applyFont="1" applyFill="1" applyBorder="1" applyAlignment="1">
      <alignment horizontal="center" vertical="center"/>
    </xf>
    <xf numFmtId="0" fontId="52" fillId="3" borderId="6" xfId="0" applyFont="1" applyFill="1" applyBorder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52" fillId="3" borderId="35" xfId="0" applyFont="1" applyFill="1" applyBorder="1" applyAlignment="1">
      <alignment horizontal="center" vertical="center"/>
    </xf>
    <xf numFmtId="0" fontId="52" fillId="3" borderId="48" xfId="0" applyFont="1" applyFill="1" applyBorder="1" applyAlignment="1">
      <alignment horizontal="center" vertical="center"/>
    </xf>
    <xf numFmtId="0" fontId="52" fillId="3" borderId="49" xfId="0" applyFont="1" applyFill="1" applyBorder="1" applyAlignment="1">
      <alignment horizontal="center" vertical="center"/>
    </xf>
    <xf numFmtId="0" fontId="54" fillId="8" borderId="1" xfId="0" applyFont="1" applyFill="1" applyBorder="1" applyAlignment="1">
      <alignment horizontal="center" vertical="center"/>
    </xf>
    <xf numFmtId="0" fontId="54" fillId="8" borderId="21" xfId="0" applyFont="1" applyFill="1" applyBorder="1" applyAlignment="1">
      <alignment horizontal="center" vertical="center"/>
    </xf>
    <xf numFmtId="0" fontId="66" fillId="4" borderId="55" xfId="0" applyFont="1" applyFill="1" applyBorder="1" applyAlignment="1" applyProtection="1">
      <alignment horizontal="center" wrapText="1"/>
      <protection locked="0"/>
    </xf>
    <xf numFmtId="0" fontId="66" fillId="4" borderId="56" xfId="0" applyFont="1" applyFill="1" applyBorder="1" applyAlignment="1" applyProtection="1">
      <alignment horizontal="center" wrapText="1"/>
      <protection locked="0"/>
    </xf>
    <xf numFmtId="0" fontId="57" fillId="3" borderId="1" xfId="0" applyFont="1" applyFill="1" applyBorder="1" applyAlignment="1">
      <alignment horizontal="center" vertical="center"/>
    </xf>
    <xf numFmtId="0" fontId="57" fillId="3" borderId="21" xfId="0" applyFont="1" applyFill="1" applyBorder="1" applyAlignment="1">
      <alignment horizontal="center" vertical="center"/>
    </xf>
    <xf numFmtId="0" fontId="58" fillId="4" borderId="2" xfId="0" applyFont="1" applyFill="1" applyBorder="1" applyAlignment="1" applyProtection="1">
      <alignment horizontal="center"/>
      <protection locked="0"/>
    </xf>
    <xf numFmtId="0" fontId="58" fillId="4" borderId="21" xfId="0" applyFont="1" applyFill="1" applyBorder="1" applyAlignment="1" applyProtection="1">
      <alignment horizontal="center"/>
      <protection locked="0"/>
    </xf>
    <xf numFmtId="0" fontId="57" fillId="4" borderId="22" xfId="0" applyFont="1" applyFill="1" applyBorder="1" applyAlignment="1" applyProtection="1">
      <alignment horizontal="center" vertical="center"/>
      <protection locked="0"/>
    </xf>
    <xf numFmtId="0" fontId="57" fillId="4" borderId="56" xfId="0" applyFont="1" applyFill="1" applyBorder="1" applyAlignment="1" applyProtection="1">
      <alignment horizontal="center" vertical="center"/>
      <protection locked="0"/>
    </xf>
    <xf numFmtId="0" fontId="30" fillId="4" borderId="44" xfId="0" applyFont="1" applyFill="1" applyBorder="1" applyAlignment="1" applyProtection="1">
      <alignment horizontal="center"/>
      <protection locked="0"/>
    </xf>
    <xf numFmtId="0" fontId="30" fillId="4" borderId="52" xfId="0" applyFont="1" applyFill="1" applyBorder="1" applyAlignment="1" applyProtection="1">
      <alignment horizontal="center"/>
      <protection locked="0"/>
    </xf>
    <xf numFmtId="0" fontId="39" fillId="4" borderId="44" xfId="0" applyFont="1" applyFill="1" applyBorder="1" applyAlignment="1" applyProtection="1">
      <alignment horizontal="center" wrapText="1"/>
      <protection locked="0"/>
    </xf>
    <xf numFmtId="0" fontId="39" fillId="4" borderId="52" xfId="0" applyFont="1" applyFill="1" applyBorder="1" applyAlignment="1" applyProtection="1">
      <alignment horizontal="center" wrapText="1"/>
      <protection locked="0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21" xfId="0" applyFont="1" applyFill="1" applyBorder="1" applyAlignment="1">
      <alignment horizontal="center" vertical="center"/>
    </xf>
    <xf numFmtId="0" fontId="30" fillId="3" borderId="0" xfId="0" applyFont="1" applyFill="1" applyAlignment="1">
      <alignment horizontal="center"/>
    </xf>
    <xf numFmtId="0" fontId="30" fillId="3" borderId="40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37" fillId="3" borderId="40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0" fillId="4" borderId="42" xfId="0" applyFont="1" applyFill="1" applyBorder="1" applyAlignment="1" applyProtection="1">
      <alignment horizontal="center" wrapText="1"/>
      <protection locked="0"/>
    </xf>
    <xf numFmtId="0" fontId="30" fillId="4" borderId="51" xfId="0" applyFont="1" applyFill="1" applyBorder="1" applyAlignment="1" applyProtection="1">
      <alignment horizontal="center" wrapText="1"/>
      <protection locked="0"/>
    </xf>
    <xf numFmtId="0" fontId="42" fillId="3" borderId="1" xfId="0" applyFont="1" applyFill="1" applyBorder="1" applyAlignment="1">
      <alignment horizontal="center" vertical="center"/>
    </xf>
    <xf numFmtId="0" fontId="42" fillId="3" borderId="2" xfId="0" applyFont="1" applyFill="1" applyBorder="1" applyAlignment="1">
      <alignment horizontal="center" vertical="center"/>
    </xf>
    <xf numFmtId="0" fontId="42" fillId="3" borderId="21" xfId="0" applyFont="1" applyFill="1" applyBorder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35" xfId="0" applyFont="1" applyFill="1" applyBorder="1" applyAlignment="1">
      <alignment horizontal="center" vertical="center"/>
    </xf>
    <xf numFmtId="0" fontId="35" fillId="3" borderId="48" xfId="0" applyFont="1" applyFill="1" applyBorder="1" applyAlignment="1">
      <alignment horizontal="center" vertical="center"/>
    </xf>
    <xf numFmtId="0" fontId="35" fillId="3" borderId="49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39" fillId="4" borderId="55" xfId="0" applyFont="1" applyFill="1" applyBorder="1" applyAlignment="1" applyProtection="1">
      <alignment horizontal="center" wrapText="1"/>
      <protection locked="0"/>
    </xf>
    <xf numFmtId="0" fontId="39" fillId="4" borderId="56" xfId="0" applyFont="1" applyFill="1" applyBorder="1" applyAlignment="1" applyProtection="1">
      <alignment horizontal="center" wrapText="1"/>
      <protection locked="0"/>
    </xf>
    <xf numFmtId="0" fontId="37" fillId="3" borderId="1" xfId="0" applyFont="1" applyFill="1" applyBorder="1" applyAlignment="1">
      <alignment horizontal="center" vertical="center"/>
    </xf>
    <xf numFmtId="0" fontId="37" fillId="3" borderId="21" xfId="0" applyFont="1" applyFill="1" applyBorder="1" applyAlignment="1">
      <alignment horizontal="center" vertical="center"/>
    </xf>
    <xf numFmtId="0" fontId="34" fillId="4" borderId="2" xfId="0" applyFont="1" applyFill="1" applyBorder="1" applyAlignment="1" applyProtection="1">
      <alignment horizontal="center"/>
      <protection locked="0"/>
    </xf>
    <xf numFmtId="0" fontId="34" fillId="4" borderId="21" xfId="0" applyFont="1" applyFill="1" applyBorder="1" applyAlignment="1" applyProtection="1">
      <alignment horizontal="center"/>
      <protection locked="0"/>
    </xf>
    <xf numFmtId="0" fontId="37" fillId="4" borderId="22" xfId="0" applyFont="1" applyFill="1" applyBorder="1" applyAlignment="1" applyProtection="1">
      <alignment horizontal="center" vertical="center"/>
      <protection locked="0"/>
    </xf>
    <xf numFmtId="0" fontId="37" fillId="4" borderId="56" xfId="0" applyFont="1" applyFill="1" applyBorder="1" applyAlignment="1" applyProtection="1">
      <alignment horizontal="center" vertical="center"/>
      <protection locked="0"/>
    </xf>
    <xf numFmtId="0" fontId="34" fillId="3" borderId="0" xfId="0" applyFont="1" applyFill="1" applyAlignment="1">
      <alignment horizontal="center"/>
    </xf>
    <xf numFmtId="0" fontId="34" fillId="3" borderId="5" xfId="0" applyFont="1" applyFill="1" applyBorder="1" applyAlignment="1">
      <alignment horizontal="center"/>
    </xf>
    <xf numFmtId="0" fontId="34" fillId="3" borderId="6" xfId="0" applyFont="1" applyFill="1" applyBorder="1" applyAlignment="1">
      <alignment horizontal="center"/>
    </xf>
    <xf numFmtId="0" fontId="34" fillId="4" borderId="44" xfId="0" applyFont="1" applyFill="1" applyBorder="1" applyAlignment="1" applyProtection="1">
      <alignment horizontal="center"/>
      <protection locked="0"/>
    </xf>
    <xf numFmtId="0" fontId="34" fillId="4" borderId="52" xfId="0" applyFont="1" applyFill="1" applyBorder="1" applyAlignment="1" applyProtection="1">
      <alignment horizontal="center"/>
      <protection locked="0"/>
    </xf>
    <xf numFmtId="0" fontId="34" fillId="4" borderId="43" xfId="0" applyFont="1" applyFill="1" applyBorder="1" applyAlignment="1" applyProtection="1">
      <alignment horizontal="center" wrapText="1"/>
      <protection locked="0"/>
    </xf>
    <xf numFmtId="0" fontId="34" fillId="4" borderId="32" xfId="0" applyFont="1" applyFill="1" applyBorder="1" applyAlignment="1" applyProtection="1">
      <alignment horizontal="center" wrapText="1"/>
      <protection locked="0"/>
    </xf>
    <xf numFmtId="0" fontId="7" fillId="4" borderId="2" xfId="0" applyFont="1" applyFill="1" applyBorder="1" applyAlignment="1" applyProtection="1">
      <alignment horizontal="center"/>
      <protection locked="0"/>
    </xf>
    <xf numFmtId="0" fontId="7" fillId="4" borderId="21" xfId="0" applyFont="1" applyFill="1" applyBorder="1" applyAlignment="1" applyProtection="1">
      <alignment horizontal="center"/>
      <protection locked="0"/>
    </xf>
    <xf numFmtId="0" fontId="11" fillId="4" borderId="22" xfId="0" applyFont="1" applyFill="1" applyBorder="1" applyAlignment="1" applyProtection="1">
      <alignment horizontal="center" vertical="center"/>
      <protection locked="0"/>
    </xf>
    <xf numFmtId="0" fontId="11" fillId="4" borderId="56" xfId="0" applyFont="1" applyFill="1" applyBorder="1" applyAlignment="1" applyProtection="1">
      <alignment horizontal="center" vertical="center"/>
      <protection locked="0"/>
    </xf>
    <xf numFmtId="0" fontId="34" fillId="4" borderId="42" xfId="0" applyFont="1" applyFill="1" applyBorder="1" applyAlignment="1" applyProtection="1">
      <alignment horizontal="center" wrapText="1"/>
      <protection locked="0"/>
    </xf>
    <xf numFmtId="0" fontId="34" fillId="4" borderId="51" xfId="0" applyFont="1" applyFill="1" applyBorder="1" applyAlignment="1" applyProtection="1">
      <alignment horizontal="center" wrapText="1"/>
      <protection locked="0"/>
    </xf>
    <xf numFmtId="0" fontId="34" fillId="4" borderId="44" xfId="0" applyFont="1" applyFill="1" applyBorder="1" applyAlignment="1" applyProtection="1">
      <alignment horizontal="center" wrapText="1"/>
      <protection locked="0"/>
    </xf>
    <xf numFmtId="0" fontId="34" fillId="4" borderId="52" xfId="0" applyFont="1" applyFill="1" applyBorder="1" applyAlignment="1" applyProtection="1">
      <alignment horizontal="center" wrapText="1"/>
      <protection locked="0"/>
    </xf>
    <xf numFmtId="0" fontId="115" fillId="4" borderId="42" xfId="0" applyFont="1" applyFill="1" applyBorder="1" applyAlignment="1" applyProtection="1">
      <alignment horizontal="center" wrapText="1"/>
      <protection locked="0"/>
    </xf>
    <xf numFmtId="0" fontId="115" fillId="4" borderId="51" xfId="0" applyFont="1" applyFill="1" applyBorder="1" applyAlignment="1" applyProtection="1">
      <alignment horizontal="center" wrapText="1"/>
      <protection locked="0"/>
    </xf>
    <xf numFmtId="0" fontId="34" fillId="4" borderId="42" xfId="0" applyFont="1" applyFill="1" applyBorder="1" applyAlignment="1" applyProtection="1">
      <alignment horizontal="center"/>
      <protection locked="0"/>
    </xf>
    <xf numFmtId="0" fontId="34" fillId="4" borderId="51" xfId="0" applyFont="1" applyFill="1" applyBorder="1" applyAlignment="1" applyProtection="1">
      <alignment horizontal="center"/>
      <protection locked="0"/>
    </xf>
    <xf numFmtId="0" fontId="48" fillId="4" borderId="42" xfId="0" applyFont="1" applyFill="1" applyBorder="1" applyAlignment="1" applyProtection="1">
      <alignment horizontal="center" vertical="center"/>
      <protection locked="0"/>
    </xf>
    <xf numFmtId="0" fontId="48" fillId="4" borderId="51" xfId="0" applyFont="1" applyFill="1" applyBorder="1" applyAlignment="1" applyProtection="1">
      <alignment horizontal="center" vertical="center"/>
      <protection locked="0"/>
    </xf>
    <xf numFmtId="0" fontId="126" fillId="4" borderId="44" xfId="0" applyFont="1" applyFill="1" applyBorder="1" applyAlignment="1" applyProtection="1">
      <alignment horizontal="center" wrapText="1"/>
      <protection locked="0"/>
    </xf>
    <xf numFmtId="0" fontId="126" fillId="4" borderId="52" xfId="0" applyFont="1" applyFill="1" applyBorder="1" applyAlignment="1" applyProtection="1">
      <alignment horizontal="center" wrapText="1"/>
      <protection locked="0"/>
    </xf>
    <xf numFmtId="0" fontId="8" fillId="4" borderId="42" xfId="0" applyFont="1" applyFill="1" applyBorder="1" applyAlignment="1" applyProtection="1">
      <alignment horizontal="center"/>
      <protection locked="0"/>
    </xf>
    <xf numFmtId="0" fontId="7" fillId="4" borderId="51" xfId="0" applyFont="1" applyFill="1" applyBorder="1" applyAlignment="1" applyProtection="1">
      <alignment horizontal="center"/>
      <protection locked="0"/>
    </xf>
    <xf numFmtId="0" fontId="26" fillId="4" borderId="44" xfId="0" applyFont="1" applyFill="1" applyBorder="1" applyAlignment="1" applyProtection="1">
      <alignment horizontal="center" wrapText="1"/>
      <protection locked="0"/>
    </xf>
    <xf numFmtId="0" fontId="26" fillId="4" borderId="52" xfId="0" applyFont="1" applyFill="1" applyBorder="1" applyAlignment="1" applyProtection="1">
      <alignment horizontal="center" wrapText="1"/>
      <protection locked="0"/>
    </xf>
    <xf numFmtId="0" fontId="26" fillId="4" borderId="55" xfId="0" applyFont="1" applyFill="1" applyBorder="1" applyAlignment="1" applyProtection="1">
      <alignment horizontal="center" wrapText="1"/>
      <protection locked="0"/>
    </xf>
    <xf numFmtId="0" fontId="26" fillId="4" borderId="56" xfId="0" applyFont="1" applyFill="1" applyBorder="1" applyAlignment="1" applyProtection="1">
      <alignment horizontal="center" wrapText="1"/>
      <protection locked="0"/>
    </xf>
    <xf numFmtId="0" fontId="30" fillId="4" borderId="43" xfId="0" applyFont="1" applyFill="1" applyBorder="1" applyAlignment="1" applyProtection="1">
      <alignment horizontal="center" wrapText="1"/>
      <protection locked="0"/>
    </xf>
    <xf numFmtId="0" fontId="30" fillId="4" borderId="32" xfId="0" applyFont="1" applyFill="1" applyBorder="1" applyAlignment="1" applyProtection="1">
      <alignment horizontal="center" wrapText="1"/>
      <protection locked="0"/>
    </xf>
    <xf numFmtId="0" fontId="30" fillId="4" borderId="44" xfId="0" applyFont="1" applyFill="1" applyBorder="1" applyAlignment="1" applyProtection="1">
      <alignment horizontal="center" vertical="top" wrapText="1"/>
      <protection locked="0"/>
    </xf>
    <xf numFmtId="0" fontId="30" fillId="4" borderId="52" xfId="0" applyFont="1" applyFill="1" applyBorder="1" applyAlignment="1" applyProtection="1">
      <alignment horizontal="center" vertical="top" wrapText="1"/>
      <protection locked="0"/>
    </xf>
    <xf numFmtId="0" fontId="46" fillId="4" borderId="42" xfId="0" applyFont="1" applyFill="1" applyBorder="1" applyAlignment="1" applyProtection="1">
      <alignment horizontal="center" wrapText="1"/>
      <protection locked="0"/>
    </xf>
    <xf numFmtId="0" fontId="46" fillId="4" borderId="51" xfId="0" applyFont="1" applyFill="1" applyBorder="1" applyAlignment="1" applyProtection="1">
      <alignment horizontal="center" wrapText="1"/>
      <protection locked="0"/>
    </xf>
    <xf numFmtId="0" fontId="11" fillId="3" borderId="40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30" fillId="4" borderId="2" xfId="0" applyFont="1" applyFill="1" applyBorder="1" applyAlignment="1" applyProtection="1">
      <alignment horizontal="center"/>
      <protection locked="0"/>
    </xf>
    <xf numFmtId="0" fontId="30" fillId="4" borderId="21" xfId="0" applyFont="1" applyFill="1" applyBorder="1" applyAlignment="1" applyProtection="1">
      <alignment horizontal="center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8" fillId="4" borderId="2" xfId="0" applyFont="1" applyFill="1" applyBorder="1" applyAlignment="1" applyProtection="1">
      <alignment horizontal="center"/>
      <protection locked="0"/>
    </xf>
    <xf numFmtId="0" fontId="8" fillId="4" borderId="21" xfId="0" applyFont="1" applyFill="1" applyBorder="1" applyAlignment="1" applyProtection="1">
      <alignment horizontal="center"/>
      <protection locked="0"/>
    </xf>
    <xf numFmtId="0" fontId="30" fillId="4" borderId="41" xfId="0" applyFont="1" applyFill="1" applyBorder="1" applyAlignment="1" applyProtection="1">
      <alignment horizontal="center" wrapText="1"/>
      <protection locked="0"/>
    </xf>
    <xf numFmtId="0" fontId="30" fillId="4" borderId="31" xfId="0" applyFont="1" applyFill="1" applyBorder="1" applyAlignment="1" applyProtection="1">
      <alignment horizontal="center" wrapText="1"/>
      <protection locked="0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31" fillId="4" borderId="44" xfId="0" applyFont="1" applyFill="1" applyBorder="1" applyAlignment="1" applyProtection="1">
      <alignment horizontal="center"/>
      <protection locked="0"/>
    </xf>
    <xf numFmtId="0" fontId="31" fillId="4" borderId="52" xfId="0" applyFont="1" applyFill="1" applyBorder="1" applyAlignment="1" applyProtection="1">
      <alignment horizontal="center"/>
      <protection locked="0"/>
    </xf>
    <xf numFmtId="0" fontId="105" fillId="4" borderId="42" xfId="0" applyFont="1" applyFill="1" applyBorder="1" applyAlignment="1" applyProtection="1">
      <alignment horizontal="center" wrapText="1"/>
      <protection locked="0"/>
    </xf>
    <xf numFmtId="0" fontId="105" fillId="4" borderId="51" xfId="0" applyFont="1" applyFill="1" applyBorder="1" applyAlignment="1" applyProtection="1">
      <alignment horizontal="center" wrapText="1"/>
      <protection locked="0"/>
    </xf>
    <xf numFmtId="0" fontId="105" fillId="4" borderId="42" xfId="0" applyFont="1" applyFill="1" applyBorder="1" applyAlignment="1" applyProtection="1">
      <alignment horizontal="center"/>
      <protection locked="0"/>
    </xf>
    <xf numFmtId="0" fontId="105" fillId="4" borderId="51" xfId="0" applyFont="1" applyFill="1" applyBorder="1" applyAlignment="1" applyProtection="1">
      <alignment horizontal="center"/>
      <protection locked="0"/>
    </xf>
    <xf numFmtId="0" fontId="30" fillId="4" borderId="42" xfId="0" applyFont="1" applyFill="1" applyBorder="1" applyAlignment="1" applyProtection="1">
      <alignment horizontal="center"/>
      <protection locked="0"/>
    </xf>
    <xf numFmtId="0" fontId="30" fillId="4" borderId="51" xfId="0" applyFont="1" applyFill="1" applyBorder="1" applyAlignment="1" applyProtection="1">
      <alignment horizontal="center"/>
      <protection locked="0"/>
    </xf>
    <xf numFmtId="0" fontId="119" fillId="4" borderId="44" xfId="0" applyFont="1" applyFill="1" applyBorder="1" applyAlignment="1" applyProtection="1">
      <alignment horizontal="left" vertical="center" wrapText="1"/>
      <protection locked="0"/>
    </xf>
    <xf numFmtId="0" fontId="119" fillId="4" borderId="52" xfId="0" applyFont="1" applyFill="1" applyBorder="1" applyAlignment="1" applyProtection="1">
      <alignment horizontal="left" vertical="center" wrapText="1"/>
      <protection locked="0"/>
    </xf>
    <xf numFmtId="0" fontId="106" fillId="4" borderId="44" xfId="0" applyFont="1" applyFill="1" applyBorder="1" applyAlignment="1" applyProtection="1">
      <alignment horizontal="center" wrapText="1"/>
      <protection locked="0"/>
    </xf>
    <xf numFmtId="0" fontId="106" fillId="4" borderId="52" xfId="0" applyFont="1" applyFill="1" applyBorder="1" applyAlignment="1" applyProtection="1">
      <alignment horizontal="center" wrapText="1"/>
      <protection locked="0"/>
    </xf>
    <xf numFmtId="0" fontId="7" fillId="4" borderId="42" xfId="0" applyFont="1" applyFill="1" applyBorder="1" applyAlignment="1" applyProtection="1">
      <alignment horizontal="center"/>
      <protection locked="0"/>
    </xf>
    <xf numFmtId="0" fontId="7" fillId="4" borderId="43" xfId="0" applyFont="1" applyFill="1" applyBorder="1" applyAlignment="1" applyProtection="1">
      <alignment horizontal="center" wrapText="1"/>
      <protection locked="0"/>
    </xf>
    <xf numFmtId="0" fontId="7" fillId="4" borderId="32" xfId="0" applyFont="1" applyFill="1" applyBorder="1" applyAlignment="1" applyProtection="1">
      <alignment horizontal="center" wrapText="1"/>
      <protection locked="0"/>
    </xf>
    <xf numFmtId="0" fontId="39" fillId="4" borderId="44" xfId="0" applyFont="1" applyFill="1" applyBorder="1" applyAlignment="1" applyProtection="1">
      <alignment horizontal="left" vertical="center" wrapText="1"/>
      <protection locked="0"/>
    </xf>
    <xf numFmtId="0" fontId="39" fillId="4" borderId="52" xfId="0" applyFont="1" applyFill="1" applyBorder="1" applyAlignment="1" applyProtection="1">
      <alignment horizontal="left" vertical="center" wrapText="1"/>
      <protection locked="0"/>
    </xf>
    <xf numFmtId="0" fontId="46" fillId="4" borderId="41" xfId="0" applyFont="1" applyFill="1" applyBorder="1" applyAlignment="1" applyProtection="1">
      <alignment horizontal="center" wrapText="1"/>
      <protection locked="0"/>
    </xf>
    <xf numFmtId="0" fontId="46" fillId="4" borderId="31" xfId="0" applyFont="1" applyFill="1" applyBorder="1" applyAlignment="1" applyProtection="1">
      <alignment horizontal="center" wrapText="1"/>
      <protection locked="0"/>
    </xf>
    <xf numFmtId="0" fontId="8" fillId="4" borderId="44" xfId="0" applyFont="1" applyFill="1" applyBorder="1" applyAlignment="1" applyProtection="1">
      <alignment horizontal="center"/>
      <protection locked="0"/>
    </xf>
    <xf numFmtId="0" fontId="8" fillId="4" borderId="52" xfId="0" applyFont="1" applyFill="1" applyBorder="1" applyAlignment="1" applyProtection="1">
      <alignment horizontal="center"/>
      <protection locked="0"/>
    </xf>
    <xf numFmtId="0" fontId="8" fillId="3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108" fillId="4" borderId="42" xfId="0" applyFont="1" applyFill="1" applyBorder="1" applyAlignment="1" applyProtection="1">
      <alignment horizontal="center" wrapText="1"/>
      <protection locked="0"/>
    </xf>
    <xf numFmtId="0" fontId="108" fillId="4" borderId="51" xfId="0" applyFont="1" applyFill="1" applyBorder="1" applyAlignment="1" applyProtection="1">
      <alignment horizontal="center" wrapText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BR38"/>
  <sheetViews>
    <sheetView zoomScale="70" zoomScaleNormal="70" workbookViewId="0">
      <selection activeCell="E2" sqref="E2:F2"/>
    </sheetView>
  </sheetViews>
  <sheetFormatPr defaultColWidth="9" defaultRowHeight="15"/>
  <cols>
    <col min="1" max="1" width="18.7109375" customWidth="1"/>
    <col min="2" max="2" width="18.5703125" customWidth="1"/>
    <col min="3" max="3" width="15.28515625" customWidth="1"/>
    <col min="4" max="4" width="13.42578125" customWidth="1"/>
    <col min="5" max="5" width="18.28515625" customWidth="1"/>
    <col min="6" max="6" width="15" customWidth="1"/>
    <col min="7" max="7" width="27.140625" bestFit="1" customWidth="1"/>
    <col min="8" max="8" width="15.85546875" customWidth="1"/>
    <col min="9" max="9" width="16.7109375" customWidth="1"/>
    <col min="10" max="10" width="23" customWidth="1"/>
    <col min="11" max="36" width="23.7109375" customWidth="1"/>
    <col min="37" max="37" width="34.85546875" customWidth="1"/>
    <col min="38" max="38" width="32" customWidth="1"/>
    <col min="39" max="44" width="23.7109375" customWidth="1"/>
    <col min="45" max="45" width="33.42578125" customWidth="1"/>
    <col min="46" max="65" width="23.7109375" customWidth="1"/>
    <col min="66" max="66" width="38.5703125" customWidth="1"/>
  </cols>
  <sheetData>
    <row r="1" spans="1:65" ht="34.5" customHeight="1">
      <c r="A1" s="726" t="s">
        <v>0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  <c r="O1" s="727"/>
      <c r="P1" s="727"/>
      <c r="Q1" s="727"/>
      <c r="R1" s="727"/>
      <c r="S1" s="727"/>
      <c r="T1" s="727"/>
      <c r="U1" s="727"/>
      <c r="V1" s="727"/>
      <c r="W1" s="727"/>
      <c r="X1" s="727"/>
      <c r="Y1" s="727"/>
      <c r="Z1" s="727"/>
      <c r="AA1" s="727"/>
      <c r="AB1" s="727"/>
      <c r="AC1" s="727"/>
      <c r="AD1" s="727"/>
      <c r="AE1" s="727"/>
      <c r="AF1" s="727"/>
      <c r="AG1" s="727"/>
      <c r="AH1" s="727"/>
      <c r="AI1" s="727"/>
      <c r="AJ1" s="727"/>
      <c r="AK1" s="727"/>
      <c r="AL1" s="727"/>
      <c r="AM1" s="727"/>
      <c r="AN1" s="727"/>
      <c r="AO1" s="727"/>
      <c r="AP1" s="727"/>
      <c r="AQ1" s="727"/>
      <c r="AR1" s="727"/>
      <c r="AS1" s="727"/>
      <c r="AT1" s="727"/>
      <c r="AU1" s="727"/>
      <c r="AV1" s="727"/>
      <c r="AW1" s="727"/>
      <c r="AX1" s="727"/>
      <c r="AY1" s="727"/>
      <c r="AZ1" s="727"/>
      <c r="BA1" s="727"/>
      <c r="BB1" s="727"/>
      <c r="BC1" s="727"/>
      <c r="BD1" s="727"/>
      <c r="BE1" s="727"/>
      <c r="BF1" s="727"/>
      <c r="BG1" s="727"/>
      <c r="BH1" s="727"/>
      <c r="BI1" s="727"/>
      <c r="BJ1" s="727"/>
      <c r="BK1" s="727"/>
      <c r="BL1" s="727"/>
      <c r="BM1" s="728"/>
    </row>
    <row r="2" spans="1:65" ht="63.75" customHeight="1">
      <c r="A2" s="729" t="s">
        <v>1</v>
      </c>
      <c r="B2" s="728"/>
      <c r="C2" s="730">
        <v>46235</v>
      </c>
      <c r="D2" s="731"/>
      <c r="E2" s="732" t="s">
        <v>2</v>
      </c>
      <c r="F2" s="728"/>
      <c r="G2" s="733" t="s">
        <v>177</v>
      </c>
      <c r="H2" s="731"/>
      <c r="I2" s="734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  <c r="Y2" s="727"/>
      <c r="Z2" s="727"/>
      <c r="AA2" s="727"/>
      <c r="AB2" s="727"/>
      <c r="AC2" s="727"/>
      <c r="AD2" s="727"/>
      <c r="AE2" s="727"/>
      <c r="AF2" s="727"/>
      <c r="AG2" s="727"/>
      <c r="AH2" s="727"/>
      <c r="AI2" s="727"/>
      <c r="AJ2" s="727"/>
      <c r="AK2" s="727"/>
      <c r="AL2" s="727"/>
      <c r="AM2" s="727"/>
      <c r="AN2" s="727"/>
      <c r="AO2" s="727"/>
      <c r="AP2" s="727"/>
      <c r="AQ2" s="727"/>
      <c r="AR2" s="727"/>
      <c r="AS2" s="727"/>
      <c r="AT2" s="727"/>
      <c r="AU2" s="727"/>
      <c r="AV2" s="727"/>
      <c r="AW2" s="727"/>
      <c r="AX2" s="727"/>
      <c r="AY2" s="727"/>
      <c r="AZ2" s="727"/>
      <c r="BA2" s="727"/>
      <c r="BB2" s="727"/>
      <c r="BC2" s="727"/>
      <c r="BD2" s="727"/>
      <c r="BE2" s="727"/>
      <c r="BF2" s="727"/>
      <c r="BG2" s="727"/>
      <c r="BH2" s="727"/>
      <c r="BI2" s="727"/>
      <c r="BJ2" s="727"/>
      <c r="BK2" s="727"/>
      <c r="BL2" s="727"/>
      <c r="BM2" s="728"/>
    </row>
    <row r="3" spans="1:65" ht="94.5">
      <c r="A3" s="547"/>
      <c r="B3" s="735" t="s">
        <v>4</v>
      </c>
      <c r="C3" s="727"/>
      <c r="D3" s="727"/>
      <c r="E3" s="727"/>
      <c r="F3" s="728"/>
      <c r="G3" s="735" t="s">
        <v>193</v>
      </c>
      <c r="H3" s="727"/>
      <c r="I3" s="728"/>
      <c r="J3" s="735" t="s">
        <v>200</v>
      </c>
      <c r="K3" s="727"/>
      <c r="L3" s="728"/>
      <c r="M3" s="735" t="s">
        <v>201</v>
      </c>
      <c r="N3" s="727"/>
      <c r="O3" s="728"/>
      <c r="P3" s="735" t="s">
        <v>202</v>
      </c>
      <c r="Q3" s="727"/>
      <c r="R3" s="728"/>
      <c r="S3" s="735" t="s">
        <v>203</v>
      </c>
      <c r="T3" s="736"/>
      <c r="U3" s="737"/>
      <c r="V3" s="735" t="s">
        <v>5</v>
      </c>
      <c r="W3" s="727"/>
      <c r="X3" s="728"/>
      <c r="Y3" s="735" t="s">
        <v>6</v>
      </c>
      <c r="Z3" s="736"/>
      <c r="AA3" s="737"/>
      <c r="AB3" s="738" t="s">
        <v>7</v>
      </c>
      <c r="AC3" s="727"/>
      <c r="AD3" s="728"/>
      <c r="AE3" s="735" t="s">
        <v>8</v>
      </c>
      <c r="AF3" s="727"/>
      <c r="AG3" s="728"/>
      <c r="AH3" s="735" t="s">
        <v>9</v>
      </c>
      <c r="AI3" s="727"/>
      <c r="AJ3" s="728"/>
      <c r="AK3" s="628" t="s">
        <v>10</v>
      </c>
      <c r="AL3" s="628" t="s">
        <v>11</v>
      </c>
      <c r="AM3" s="739"/>
      <c r="AN3" s="740"/>
      <c r="AO3" s="741"/>
      <c r="AP3" s="739"/>
      <c r="AQ3" s="740"/>
      <c r="AR3" s="742"/>
      <c r="AS3" s="533"/>
      <c r="AT3" s="743"/>
      <c r="AU3" s="740"/>
      <c r="AV3" s="741"/>
      <c r="AW3" s="739"/>
      <c r="AX3" s="740"/>
      <c r="AY3" s="741"/>
      <c r="AZ3" s="739"/>
      <c r="BA3" s="740"/>
      <c r="BB3" s="741"/>
      <c r="BC3" s="739"/>
      <c r="BD3" s="740"/>
      <c r="BE3" s="741"/>
      <c r="BF3" s="739"/>
      <c r="BG3" s="740"/>
      <c r="BH3" s="741"/>
      <c r="BI3" s="739"/>
      <c r="BJ3" s="740"/>
      <c r="BK3" s="742"/>
      <c r="BL3" s="735"/>
      <c r="BM3" s="728"/>
    </row>
    <row r="4" spans="1:65" ht="121.5" customHeight="1">
      <c r="A4" s="549" t="s">
        <v>12</v>
      </c>
      <c r="B4" s="547" t="s">
        <v>13</v>
      </c>
      <c r="C4" s="547" t="s">
        <v>14</v>
      </c>
      <c r="D4" s="547" t="s">
        <v>15</v>
      </c>
      <c r="E4" s="547" t="s">
        <v>16</v>
      </c>
      <c r="F4" s="550" t="s">
        <v>17</v>
      </c>
      <c r="G4" s="551" t="s">
        <v>18</v>
      </c>
      <c r="H4" s="552" t="s">
        <v>19</v>
      </c>
      <c r="I4" s="547" t="s">
        <v>20</v>
      </c>
      <c r="J4" s="580" t="s">
        <v>18</v>
      </c>
      <c r="K4" s="580" t="s">
        <v>19</v>
      </c>
      <c r="L4" s="547" t="s">
        <v>20</v>
      </c>
      <c r="M4" s="580" t="s">
        <v>21</v>
      </c>
      <c r="N4" s="580" t="s">
        <v>19</v>
      </c>
      <c r="O4" s="547" t="s">
        <v>20</v>
      </c>
      <c r="P4" s="580" t="s">
        <v>21</v>
      </c>
      <c r="Q4" s="580" t="s">
        <v>19</v>
      </c>
      <c r="R4" s="548" t="s">
        <v>20</v>
      </c>
      <c r="S4" s="580" t="s">
        <v>21</v>
      </c>
      <c r="T4" s="580" t="s">
        <v>19</v>
      </c>
      <c r="U4" s="550" t="s">
        <v>20</v>
      </c>
      <c r="V4" s="580" t="s">
        <v>21</v>
      </c>
      <c r="W4" s="580" t="s">
        <v>19</v>
      </c>
      <c r="X4" s="550" t="s">
        <v>20</v>
      </c>
      <c r="Y4" s="580" t="s">
        <v>21</v>
      </c>
      <c r="Z4" s="580" t="s">
        <v>19</v>
      </c>
      <c r="AA4" s="547" t="s">
        <v>20</v>
      </c>
      <c r="AB4" s="580" t="s">
        <v>21</v>
      </c>
      <c r="AC4" s="580" t="s">
        <v>19</v>
      </c>
      <c r="AD4" s="547" t="s">
        <v>20</v>
      </c>
      <c r="AE4" s="580" t="s">
        <v>21</v>
      </c>
      <c r="AF4" s="580" t="s">
        <v>19</v>
      </c>
      <c r="AG4" s="547" t="s">
        <v>20</v>
      </c>
      <c r="AH4" s="580" t="s">
        <v>21</v>
      </c>
      <c r="AI4" s="580" t="s">
        <v>19</v>
      </c>
      <c r="AJ4" s="547" t="s">
        <v>20</v>
      </c>
      <c r="AK4" s="551" t="s">
        <v>21</v>
      </c>
      <c r="AL4" s="551" t="s">
        <v>21</v>
      </c>
      <c r="AM4" s="580" t="s">
        <v>21</v>
      </c>
      <c r="AN4" s="580" t="s">
        <v>19</v>
      </c>
      <c r="AO4" s="547" t="s">
        <v>20</v>
      </c>
      <c r="AP4" s="631" t="s">
        <v>22</v>
      </c>
      <c r="AQ4" s="580" t="s">
        <v>19</v>
      </c>
      <c r="AR4" s="548" t="s">
        <v>20</v>
      </c>
      <c r="AS4" s="580" t="s">
        <v>21</v>
      </c>
      <c r="AT4" s="580" t="s">
        <v>21</v>
      </c>
      <c r="AU4" s="580" t="s">
        <v>19</v>
      </c>
      <c r="AV4" s="547" t="s">
        <v>20</v>
      </c>
      <c r="AW4" s="580" t="s">
        <v>21</v>
      </c>
      <c r="AX4" s="580" t="s">
        <v>19</v>
      </c>
      <c r="AY4" s="547" t="s">
        <v>20</v>
      </c>
      <c r="AZ4" s="580" t="s">
        <v>21</v>
      </c>
      <c r="BA4" s="580" t="s">
        <v>19</v>
      </c>
      <c r="BB4" s="547" t="s">
        <v>20</v>
      </c>
      <c r="BC4" s="580" t="s">
        <v>21</v>
      </c>
      <c r="BD4" s="580" t="s">
        <v>19</v>
      </c>
      <c r="BE4" s="547" t="s">
        <v>20</v>
      </c>
      <c r="BF4" s="580" t="s">
        <v>21</v>
      </c>
      <c r="BG4" s="580" t="s">
        <v>19</v>
      </c>
      <c r="BH4" s="547" t="s">
        <v>20</v>
      </c>
      <c r="BI4" s="580" t="s">
        <v>21</v>
      </c>
      <c r="BJ4" s="580" t="s">
        <v>19</v>
      </c>
      <c r="BK4" s="547" t="s">
        <v>20</v>
      </c>
      <c r="BL4" s="547" t="s">
        <v>23</v>
      </c>
      <c r="BM4" s="547" t="s">
        <v>24</v>
      </c>
    </row>
    <row r="5" spans="1:65" ht="23.25">
      <c r="A5" s="553">
        <v>46235</v>
      </c>
      <c r="B5" s="554">
        <f>'1'!C4</f>
        <v>7.5</v>
      </c>
      <c r="C5" s="555">
        <f>'1'!D4</f>
        <v>9.5</v>
      </c>
      <c r="D5" s="555">
        <f>'1'!E4</f>
        <v>0</v>
      </c>
      <c r="E5" s="556">
        <f>'1'!F4</f>
        <v>0</v>
      </c>
      <c r="F5" s="557">
        <f>SUM(B5:E5)</f>
        <v>17</v>
      </c>
      <c r="G5" s="554">
        <f>'1'!E6</f>
        <v>22</v>
      </c>
      <c r="H5" s="558">
        <f>'1'!F6</f>
        <v>3.5</v>
      </c>
      <c r="I5" s="581">
        <f>G5/H5</f>
        <v>6.2857142857142856</v>
      </c>
      <c r="J5" s="582">
        <f>'1'!E7</f>
        <v>78</v>
      </c>
      <c r="K5" s="583">
        <f>'1'!F7</f>
        <v>5.5</v>
      </c>
      <c r="L5" s="581">
        <f>J5/K5</f>
        <v>14.181818181818182</v>
      </c>
      <c r="M5" s="584">
        <f>'1'!E8</f>
        <v>0</v>
      </c>
      <c r="N5" s="585">
        <f>'1'!F8</f>
        <v>0</v>
      </c>
      <c r="O5" s="586" t="e">
        <f>AVERAGE(M5/N5)</f>
        <v>#DIV/0!</v>
      </c>
      <c r="P5" s="585">
        <f>'1'!E9</f>
        <v>144</v>
      </c>
      <c r="Q5" s="603">
        <f>'1'!F9</f>
        <v>24</v>
      </c>
      <c r="R5" s="581">
        <f>AVERAGE(P5/Q5)</f>
        <v>6</v>
      </c>
      <c r="S5" s="585">
        <f>'1'!E10</f>
        <v>0</v>
      </c>
      <c r="T5" s="603">
        <f>'1'!F10</f>
        <v>0</v>
      </c>
      <c r="U5" s="581" t="e">
        <f>AVERAGE(S5/T5)</f>
        <v>#DIV/0!</v>
      </c>
      <c r="V5" s="604">
        <f>'1'!E11</f>
        <v>0</v>
      </c>
      <c r="W5" s="613">
        <f>'1'!F11</f>
        <v>0</v>
      </c>
      <c r="X5" s="557" t="e">
        <f t="shared" ref="X5:X38" si="0">V5/W5</f>
        <v>#DIV/0!</v>
      </c>
      <c r="Y5" s="584">
        <f>'1'!E12</f>
        <v>0</v>
      </c>
      <c r="Z5" s="613">
        <f>'1'!F12</f>
        <v>0</v>
      </c>
      <c r="AA5" s="614" t="e">
        <f t="shared" ref="AA5:AA38" si="1">Y5/Z5</f>
        <v>#DIV/0!</v>
      </c>
      <c r="AB5" s="615">
        <f>'1'!E13</f>
        <v>0</v>
      </c>
      <c r="AC5" s="616">
        <f>'1'!F13</f>
        <v>0</v>
      </c>
      <c r="AD5" s="581" t="e">
        <f>AB5/AC5</f>
        <v>#DIV/0!</v>
      </c>
      <c r="AE5" s="604">
        <f>'1'!E14</f>
        <v>0</v>
      </c>
      <c r="AF5" s="613">
        <f>'1'!F14</f>
        <v>0</v>
      </c>
      <c r="AG5" s="557" t="e">
        <f>AE5/AF5</f>
        <v>#DIV/0!</v>
      </c>
      <c r="AH5" s="604">
        <f>'1'!E15</f>
        <v>0</v>
      </c>
      <c r="AI5" s="613">
        <f>'1'!F15</f>
        <v>0</v>
      </c>
      <c r="AJ5" s="557" t="e">
        <f t="shared" ref="AJ5:AJ38" si="2">AH5/AI5</f>
        <v>#DIV/0!</v>
      </c>
      <c r="AK5" s="629">
        <f>'1'!E16</f>
        <v>10</v>
      </c>
      <c r="AL5" s="632">
        <f>'1'!E17</f>
        <v>0</v>
      </c>
      <c r="AM5" s="604">
        <f>'1'!E18</f>
        <v>0</v>
      </c>
      <c r="AN5" s="633">
        <f>'1'!F18</f>
        <v>0</v>
      </c>
      <c r="AO5" s="634" t="e">
        <f t="shared" ref="AO5:AO38" si="3">AM5/AN5</f>
        <v>#DIV/0!</v>
      </c>
      <c r="AP5" s="633">
        <f>'1'!E19</f>
        <v>0</v>
      </c>
      <c r="AQ5" s="633">
        <f>'1'!F19</f>
        <v>0</v>
      </c>
      <c r="AR5" s="635" t="e">
        <f t="shared" ref="AR5:AR20" si="4">AP5/AQ5</f>
        <v>#DIV/0!</v>
      </c>
      <c r="AS5" s="636">
        <f>'1'!E20</f>
        <v>0</v>
      </c>
      <c r="AT5" s="633">
        <f>'1'!E21</f>
        <v>0</v>
      </c>
      <c r="AU5" s="633">
        <f>'1'!F21</f>
        <v>0</v>
      </c>
      <c r="AV5" s="643" t="e">
        <f t="shared" ref="AV5:AV37" si="5">AT5/AU5</f>
        <v>#DIV/0!</v>
      </c>
      <c r="AW5" s="633">
        <f>'1'!E22</f>
        <v>0</v>
      </c>
      <c r="AX5" s="633">
        <f>'1'!F22</f>
        <v>0</v>
      </c>
      <c r="AY5" s="643" t="e">
        <f t="shared" ref="AY5:AY37" si="6">AW5/AX5</f>
        <v>#DIV/0!</v>
      </c>
      <c r="AZ5" s="633">
        <f>'1'!E23</f>
        <v>0</v>
      </c>
      <c r="BA5" s="633">
        <f>'1'!F23</f>
        <v>0</v>
      </c>
      <c r="BB5" s="643" t="e">
        <f t="shared" ref="BB5:BB20" si="7">AZ5/BA5</f>
        <v>#DIV/0!</v>
      </c>
      <c r="BC5" s="633">
        <f>'1'!E24</f>
        <v>0</v>
      </c>
      <c r="BD5" s="633">
        <f>'1'!F24</f>
        <v>0</v>
      </c>
      <c r="BE5" s="643" t="e">
        <f t="shared" ref="BE5:BE20" si="8">BC5/BD5</f>
        <v>#DIV/0!</v>
      </c>
      <c r="BF5" s="633">
        <f>'1'!E25</f>
        <v>0</v>
      </c>
      <c r="BG5" s="633">
        <f>'1'!F25</f>
        <v>0</v>
      </c>
      <c r="BH5" s="643" t="e">
        <f t="shared" ref="BH5:BH20" si="9">BF5/BG5</f>
        <v>#DIV/0!</v>
      </c>
      <c r="BI5" s="633">
        <f>'1'!E26</f>
        <v>0</v>
      </c>
      <c r="BJ5" s="633">
        <f>'1'!F26</f>
        <v>0</v>
      </c>
      <c r="BK5" s="643" t="e">
        <f t="shared" ref="BK5:BK20" si="10">BI5/BJ5</f>
        <v>#DIV/0!</v>
      </c>
      <c r="BL5" s="651">
        <f t="shared" ref="BL5:BL19" si="11">G5+J5+M5+P5+S5+V5+Y5</f>
        <v>244</v>
      </c>
      <c r="BM5" s="652">
        <f>BL5+BI5+BF5+BC5+AZ5+AW5+AS5+AP5+AM5+AL5+AK5+AH5+AE5+AB5</f>
        <v>254</v>
      </c>
    </row>
    <row r="6" spans="1:65" ht="23.25">
      <c r="A6" s="553">
        <v>46236</v>
      </c>
      <c r="B6" s="554">
        <f>'2'!C4</f>
        <v>20</v>
      </c>
      <c r="C6" s="555">
        <f>'2'!D4</f>
        <v>4</v>
      </c>
      <c r="D6" s="555">
        <f>'2'!E4</f>
        <v>0</v>
      </c>
      <c r="E6" s="556">
        <f>'2'!F4</f>
        <v>0</v>
      </c>
      <c r="F6" s="559">
        <f t="shared" ref="F6:F19" si="12">SUM(B6:E6)</f>
        <v>24</v>
      </c>
      <c r="G6" s="554">
        <f>'2'!E6</f>
        <v>135</v>
      </c>
      <c r="H6" s="558">
        <f>'2'!F6</f>
        <v>18</v>
      </c>
      <c r="I6" s="581">
        <f t="shared" ref="I6:I38" si="13">G6/H6</f>
        <v>7.5</v>
      </c>
      <c r="J6" s="582">
        <f>'2'!E7</f>
        <v>80</v>
      </c>
      <c r="K6" s="583">
        <f>'2'!F7</f>
        <v>4.5</v>
      </c>
      <c r="L6" s="581">
        <f t="shared" ref="L6:L38" si="14">J6/K6</f>
        <v>17.777777777777779</v>
      </c>
      <c r="M6" s="584">
        <f>'2'!E8</f>
        <v>0</v>
      </c>
      <c r="N6" s="585">
        <f>'2'!F8</f>
        <v>0</v>
      </c>
      <c r="O6" s="586" t="e">
        <f>AVERAGE(M6/N6)</f>
        <v>#DIV/0!</v>
      </c>
      <c r="P6" s="585">
        <f>'2'!E9</f>
        <v>143</v>
      </c>
      <c r="Q6" s="603">
        <f>'2'!F9</f>
        <v>24</v>
      </c>
      <c r="R6" s="581">
        <f>AVERAGE(P6/Q6)</f>
        <v>5.958333333333333</v>
      </c>
      <c r="S6" s="585">
        <f>'2'!E10</f>
        <v>0</v>
      </c>
      <c r="T6" s="603">
        <f>'2'!F10</f>
        <v>0</v>
      </c>
      <c r="U6" s="605" t="e">
        <f t="shared" ref="U6:U36" si="15">AVERAGE(S6/T6)</f>
        <v>#DIV/0!</v>
      </c>
      <c r="V6" s="604">
        <f>'2'!E11</f>
        <v>0</v>
      </c>
      <c r="W6" s="613">
        <f>'2'!F11</f>
        <v>0</v>
      </c>
      <c r="X6" s="559" t="e">
        <f t="shared" si="0"/>
        <v>#DIV/0!</v>
      </c>
      <c r="Y6" s="584">
        <f>'2'!E12</f>
        <v>3</v>
      </c>
      <c r="Z6" s="613">
        <f>'2'!F12</f>
        <v>1</v>
      </c>
      <c r="AA6" s="617">
        <f t="shared" si="1"/>
        <v>3</v>
      </c>
      <c r="AB6" s="615">
        <f>'2'!E13</f>
        <v>0</v>
      </c>
      <c r="AC6" s="616">
        <f>'2'!F13</f>
        <v>0</v>
      </c>
      <c r="AD6" s="581" t="e">
        <f t="shared" ref="AD6:AD38" si="16">AB6/AC6</f>
        <v>#DIV/0!</v>
      </c>
      <c r="AE6" s="604">
        <f>'2'!E14</f>
        <v>0</v>
      </c>
      <c r="AF6" s="613">
        <f>'2'!F14</f>
        <v>0</v>
      </c>
      <c r="AG6" s="559" t="e">
        <f>AE6/AF6</f>
        <v>#DIV/0!</v>
      </c>
      <c r="AH6" s="604">
        <f>'2'!E15</f>
        <v>0</v>
      </c>
      <c r="AI6" s="613">
        <f>'2'!F15</f>
        <v>0</v>
      </c>
      <c r="AJ6" s="559" t="e">
        <f t="shared" si="2"/>
        <v>#DIV/0!</v>
      </c>
      <c r="AK6" s="629">
        <f>'2'!E16</f>
        <v>0</v>
      </c>
      <c r="AL6" s="632">
        <f>'2'!E17</f>
        <v>0</v>
      </c>
      <c r="AM6" s="604">
        <f>'2'!E18</f>
        <v>0</v>
      </c>
      <c r="AN6" s="633">
        <f>'2'!F18</f>
        <v>0</v>
      </c>
      <c r="AO6" s="637" t="e">
        <f t="shared" si="3"/>
        <v>#DIV/0!</v>
      </c>
      <c r="AP6" s="633">
        <f>'2'!E19</f>
        <v>0</v>
      </c>
      <c r="AQ6" s="633">
        <f>'2'!F19</f>
        <v>0</v>
      </c>
      <c r="AR6" s="638" t="e">
        <f t="shared" si="4"/>
        <v>#DIV/0!</v>
      </c>
      <c r="AS6" s="636">
        <f>'2'!E20</f>
        <v>0</v>
      </c>
      <c r="AT6" s="633">
        <f>'2'!E21</f>
        <v>0</v>
      </c>
      <c r="AU6" s="633">
        <f>'2'!F21</f>
        <v>0</v>
      </c>
      <c r="AV6" s="649" t="e">
        <f t="shared" si="5"/>
        <v>#DIV/0!</v>
      </c>
      <c r="AW6" s="633">
        <f>'2'!E22</f>
        <v>0</v>
      </c>
      <c r="AX6" s="633">
        <f>'2'!F22</f>
        <v>0</v>
      </c>
      <c r="AY6" s="643" t="e">
        <f t="shared" si="6"/>
        <v>#DIV/0!</v>
      </c>
      <c r="AZ6" s="633">
        <f>'2'!E23</f>
        <v>0</v>
      </c>
      <c r="BA6" s="633">
        <f>'2'!F23</f>
        <v>0</v>
      </c>
      <c r="BB6" s="643" t="e">
        <f t="shared" si="7"/>
        <v>#DIV/0!</v>
      </c>
      <c r="BC6" s="633">
        <f>'2'!E24</f>
        <v>0</v>
      </c>
      <c r="BD6" s="633">
        <f>'2'!F24</f>
        <v>0</v>
      </c>
      <c r="BE6" s="643" t="e">
        <f t="shared" si="8"/>
        <v>#DIV/0!</v>
      </c>
      <c r="BF6" s="633">
        <f>'2'!E25</f>
        <v>0</v>
      </c>
      <c r="BG6" s="633">
        <f>'2'!F25</f>
        <v>0</v>
      </c>
      <c r="BH6" s="643" t="e">
        <f t="shared" si="9"/>
        <v>#DIV/0!</v>
      </c>
      <c r="BI6" s="633">
        <f>'2'!E26</f>
        <v>0</v>
      </c>
      <c r="BJ6" s="633">
        <f>'2'!F26</f>
        <v>0</v>
      </c>
      <c r="BK6" s="643" t="e">
        <f t="shared" si="10"/>
        <v>#DIV/0!</v>
      </c>
      <c r="BL6" s="651">
        <f t="shared" si="11"/>
        <v>361</v>
      </c>
      <c r="BM6" s="652">
        <f t="shared" ref="BM6:BM36" si="17">BL6+BI6+BF6+BC6+AZ6+AW6+AS6+AP6+AM6+AL6+AK6+AH6+AE6+AB6</f>
        <v>361</v>
      </c>
    </row>
    <row r="7" spans="1:65" ht="23.25">
      <c r="A7" s="553">
        <v>46237</v>
      </c>
      <c r="B7" s="554">
        <f>'3'!C4</f>
        <v>7.5</v>
      </c>
      <c r="C7" s="555">
        <f>'3'!D4</f>
        <v>1</v>
      </c>
      <c r="D7" s="555">
        <f>'3'!E4</f>
        <v>15.5</v>
      </c>
      <c r="E7" s="556">
        <f>'3'!F4</f>
        <v>0</v>
      </c>
      <c r="F7" s="559">
        <f t="shared" si="12"/>
        <v>24</v>
      </c>
      <c r="G7" s="554">
        <f>'3'!E6</f>
        <v>58</v>
      </c>
      <c r="H7" s="558">
        <f>'3'!F6</f>
        <v>10</v>
      </c>
      <c r="I7" s="581">
        <f t="shared" si="13"/>
        <v>5.8</v>
      </c>
      <c r="J7" s="582">
        <f>'3'!E7</f>
        <v>0</v>
      </c>
      <c r="K7" s="583">
        <f>'3'!F7</f>
        <v>0</v>
      </c>
      <c r="L7" s="581" t="e">
        <f t="shared" si="14"/>
        <v>#DIV/0!</v>
      </c>
      <c r="M7" s="584">
        <f>'3'!E8</f>
        <v>0</v>
      </c>
      <c r="N7" s="585">
        <f>'3'!F8</f>
        <v>0</v>
      </c>
      <c r="O7" s="586" t="e">
        <f t="shared" ref="O7:O19" si="18">AVERAGE(M7/N7)</f>
        <v>#DIV/0!</v>
      </c>
      <c r="P7" s="585">
        <f>'3'!E9</f>
        <v>150</v>
      </c>
      <c r="Q7" s="603">
        <f>'3'!F9</f>
        <v>24</v>
      </c>
      <c r="R7" s="581">
        <f t="shared" ref="R7:R36" si="19">AVERAGE(P7/Q7)</f>
        <v>6.25</v>
      </c>
      <c r="S7" s="585">
        <f>'3'!E10</f>
        <v>0</v>
      </c>
      <c r="T7" s="603">
        <f>'3'!F10</f>
        <v>0</v>
      </c>
      <c r="U7" s="605" t="e">
        <f t="shared" si="15"/>
        <v>#DIV/0!</v>
      </c>
      <c r="V7" s="604">
        <f>'3'!E11</f>
        <v>0</v>
      </c>
      <c r="W7" s="613">
        <f>'3'!F11</f>
        <v>0</v>
      </c>
      <c r="X7" s="559" t="e">
        <f t="shared" si="0"/>
        <v>#DIV/0!</v>
      </c>
      <c r="Y7" s="584">
        <f>'3'!E12</f>
        <v>0</v>
      </c>
      <c r="Z7" s="613">
        <f>'3'!F12</f>
        <v>0</v>
      </c>
      <c r="AA7" s="617" t="e">
        <f t="shared" si="1"/>
        <v>#DIV/0!</v>
      </c>
      <c r="AB7" s="615">
        <f>'3'!E13</f>
        <v>0</v>
      </c>
      <c r="AC7" s="616">
        <f>'3'!F13</f>
        <v>0</v>
      </c>
      <c r="AD7" s="581" t="e">
        <f t="shared" si="16"/>
        <v>#DIV/0!</v>
      </c>
      <c r="AE7" s="604">
        <f>'3'!E14</f>
        <v>0</v>
      </c>
      <c r="AF7" s="613">
        <f>'3'!F14</f>
        <v>0</v>
      </c>
      <c r="AG7" s="559" t="e">
        <f t="shared" ref="AG7:AG38" si="20">AE7/AF7</f>
        <v>#DIV/0!</v>
      </c>
      <c r="AH7" s="604">
        <f>'3'!E15</f>
        <v>0</v>
      </c>
      <c r="AI7" s="613">
        <f>'3'!F15</f>
        <v>0</v>
      </c>
      <c r="AJ7" s="559" t="e">
        <f t="shared" si="2"/>
        <v>#DIV/0!</v>
      </c>
      <c r="AK7" s="629">
        <f>'3'!E16</f>
        <v>0</v>
      </c>
      <c r="AL7" s="632">
        <f>'3'!E17</f>
        <v>0</v>
      </c>
      <c r="AM7" s="604">
        <f>'3'!E18</f>
        <v>0</v>
      </c>
      <c r="AN7" s="633">
        <f>'3'!F18</f>
        <v>0</v>
      </c>
      <c r="AO7" s="637" t="e">
        <f t="shared" si="3"/>
        <v>#DIV/0!</v>
      </c>
      <c r="AP7" s="633">
        <f>'3'!E19</f>
        <v>0</v>
      </c>
      <c r="AQ7" s="633">
        <f>'3'!F19</f>
        <v>0</v>
      </c>
      <c r="AR7" s="638" t="e">
        <f t="shared" si="4"/>
        <v>#DIV/0!</v>
      </c>
      <c r="AS7" s="636">
        <f>'3'!E20</f>
        <v>0</v>
      </c>
      <c r="AT7" s="633">
        <f>'3'!E21</f>
        <v>0</v>
      </c>
      <c r="AU7" s="633">
        <f>'3'!F21</f>
        <v>0</v>
      </c>
      <c r="AV7" s="649" t="e">
        <f t="shared" si="5"/>
        <v>#DIV/0!</v>
      </c>
      <c r="AW7" s="633">
        <f>'3'!E22</f>
        <v>0</v>
      </c>
      <c r="AX7" s="633">
        <f>'3'!F22</f>
        <v>0</v>
      </c>
      <c r="AY7" s="643" t="e">
        <f t="shared" si="6"/>
        <v>#DIV/0!</v>
      </c>
      <c r="AZ7" s="633">
        <f>'3'!E23</f>
        <v>0</v>
      </c>
      <c r="BA7" s="633">
        <f>'3'!F23</f>
        <v>0</v>
      </c>
      <c r="BB7" s="643" t="e">
        <f t="shared" si="7"/>
        <v>#DIV/0!</v>
      </c>
      <c r="BC7" s="633">
        <f>'3'!E24</f>
        <v>0</v>
      </c>
      <c r="BD7" s="633">
        <f>'3'!F24</f>
        <v>0</v>
      </c>
      <c r="BE7" s="643" t="e">
        <f t="shared" si="8"/>
        <v>#DIV/0!</v>
      </c>
      <c r="BF7" s="633">
        <f>'3'!E25</f>
        <v>0</v>
      </c>
      <c r="BG7" s="633">
        <f>'3'!F25</f>
        <v>0</v>
      </c>
      <c r="BH7" s="643" t="e">
        <f t="shared" si="9"/>
        <v>#DIV/0!</v>
      </c>
      <c r="BI7" s="633">
        <f>'3'!E26</f>
        <v>0</v>
      </c>
      <c r="BJ7" s="633">
        <f>'3'!F26</f>
        <v>0</v>
      </c>
      <c r="BK7" s="643" t="e">
        <f t="shared" si="10"/>
        <v>#DIV/0!</v>
      </c>
      <c r="BL7" s="651">
        <f t="shared" si="11"/>
        <v>208</v>
      </c>
      <c r="BM7" s="652">
        <f t="shared" si="17"/>
        <v>208</v>
      </c>
    </row>
    <row r="8" spans="1:65" ht="23.25">
      <c r="A8" s="553">
        <v>46238</v>
      </c>
      <c r="B8" s="554">
        <f>'4'!C4</f>
        <v>12.5</v>
      </c>
      <c r="C8" s="555">
        <f>'4'!D4</f>
        <v>9</v>
      </c>
      <c r="D8" s="555">
        <f>'4'!E4</f>
        <v>2.5</v>
      </c>
      <c r="E8" s="556">
        <f>'4'!F4</f>
        <v>0</v>
      </c>
      <c r="F8" s="559">
        <f t="shared" si="12"/>
        <v>24</v>
      </c>
      <c r="G8" s="554">
        <f>'4'!E6</f>
        <v>110</v>
      </c>
      <c r="H8" s="558">
        <f>'4'!F6</f>
        <v>18</v>
      </c>
      <c r="I8" s="581">
        <f t="shared" si="13"/>
        <v>6.1111111111111107</v>
      </c>
      <c r="J8" s="582">
        <f>'4'!E7</f>
        <v>75</v>
      </c>
      <c r="K8" s="583">
        <f>'4'!F7</f>
        <v>6</v>
      </c>
      <c r="L8" s="581">
        <f t="shared" si="14"/>
        <v>12.5</v>
      </c>
      <c r="M8" s="584">
        <f>'4'!E8</f>
        <v>70</v>
      </c>
      <c r="N8" s="585">
        <f>'4'!F8</f>
        <v>12</v>
      </c>
      <c r="O8" s="586">
        <f t="shared" si="18"/>
        <v>5.833333333333333</v>
      </c>
      <c r="P8" s="585">
        <f>'4'!E9</f>
        <v>74</v>
      </c>
      <c r="Q8" s="603">
        <f>'4'!F9</f>
        <v>12</v>
      </c>
      <c r="R8" s="581">
        <f t="shared" si="19"/>
        <v>6.166666666666667</v>
      </c>
      <c r="S8" s="585">
        <f>'4'!E10</f>
        <v>0</v>
      </c>
      <c r="T8" s="603">
        <f>'4'!F10</f>
        <v>0</v>
      </c>
      <c r="U8" s="605" t="e">
        <f t="shared" si="15"/>
        <v>#DIV/0!</v>
      </c>
      <c r="V8" s="604">
        <f>'4'!E11</f>
        <v>0</v>
      </c>
      <c r="W8" s="613">
        <f>'4'!F11</f>
        <v>0</v>
      </c>
      <c r="X8" s="559" t="e">
        <f t="shared" si="0"/>
        <v>#DIV/0!</v>
      </c>
      <c r="Y8" s="584">
        <f>'4'!E12</f>
        <v>3</v>
      </c>
      <c r="Z8" s="613">
        <f>'4'!F12</f>
        <v>1</v>
      </c>
      <c r="AA8" s="617">
        <f t="shared" si="1"/>
        <v>3</v>
      </c>
      <c r="AB8" s="615">
        <f>'4'!E13</f>
        <v>0</v>
      </c>
      <c r="AC8" s="616">
        <f>'4'!F13</f>
        <v>0</v>
      </c>
      <c r="AD8" s="581" t="e">
        <f t="shared" si="16"/>
        <v>#DIV/0!</v>
      </c>
      <c r="AE8" s="604">
        <f>'4'!E14</f>
        <v>0</v>
      </c>
      <c r="AF8" s="613">
        <f>'4'!F14</f>
        <v>0</v>
      </c>
      <c r="AG8" s="559" t="e">
        <f t="shared" si="20"/>
        <v>#DIV/0!</v>
      </c>
      <c r="AH8" s="604">
        <f>'4'!E15</f>
        <v>0</v>
      </c>
      <c r="AI8" s="613">
        <f>'4'!F15</f>
        <v>0</v>
      </c>
      <c r="AJ8" s="559" t="e">
        <f t="shared" si="2"/>
        <v>#DIV/0!</v>
      </c>
      <c r="AK8" s="629">
        <f>'4'!E16</f>
        <v>0</v>
      </c>
      <c r="AL8" s="632">
        <f>'4'!E17</f>
        <v>0</v>
      </c>
      <c r="AM8" s="604">
        <f>'4'!E18</f>
        <v>0</v>
      </c>
      <c r="AN8" s="633">
        <f>'4'!F18</f>
        <v>0</v>
      </c>
      <c r="AO8" s="637" t="e">
        <f t="shared" si="3"/>
        <v>#DIV/0!</v>
      </c>
      <c r="AP8" s="633">
        <f>'4'!E19</f>
        <v>0</v>
      </c>
      <c r="AQ8" s="633">
        <f>'4'!F19</f>
        <v>0</v>
      </c>
      <c r="AR8" s="638" t="e">
        <f t="shared" si="4"/>
        <v>#DIV/0!</v>
      </c>
      <c r="AS8" s="636">
        <f>'4'!E20</f>
        <v>0</v>
      </c>
      <c r="AT8" s="633">
        <f>'4'!E21</f>
        <v>0</v>
      </c>
      <c r="AU8" s="633">
        <f>'4'!F21</f>
        <v>0</v>
      </c>
      <c r="AV8" s="649" t="e">
        <f t="shared" si="5"/>
        <v>#DIV/0!</v>
      </c>
      <c r="AW8" s="633">
        <f>'4'!E22</f>
        <v>0</v>
      </c>
      <c r="AX8" s="633">
        <f>'4'!F22</f>
        <v>0</v>
      </c>
      <c r="AY8" s="643" t="e">
        <f t="shared" si="6"/>
        <v>#DIV/0!</v>
      </c>
      <c r="AZ8" s="633">
        <f>'4'!E23</f>
        <v>0</v>
      </c>
      <c r="BA8" s="633">
        <f>'4'!F23</f>
        <v>0</v>
      </c>
      <c r="BB8" s="643" t="e">
        <f t="shared" si="7"/>
        <v>#DIV/0!</v>
      </c>
      <c r="BC8" s="633">
        <f>'4'!E24</f>
        <v>0</v>
      </c>
      <c r="BD8" s="633">
        <f>'4'!F24</f>
        <v>0</v>
      </c>
      <c r="BE8" s="643" t="e">
        <f t="shared" si="8"/>
        <v>#DIV/0!</v>
      </c>
      <c r="BF8" s="633">
        <f>'4'!E25</f>
        <v>0</v>
      </c>
      <c r="BG8" s="633">
        <f>'4'!F25</f>
        <v>0</v>
      </c>
      <c r="BH8" s="643" t="e">
        <f t="shared" si="9"/>
        <v>#DIV/0!</v>
      </c>
      <c r="BI8" s="633">
        <f>'4'!E26</f>
        <v>0</v>
      </c>
      <c r="BJ8" s="633">
        <f>'4'!F26</f>
        <v>0</v>
      </c>
      <c r="BK8" s="643" t="e">
        <f t="shared" si="10"/>
        <v>#DIV/0!</v>
      </c>
      <c r="BL8" s="651">
        <f t="shared" si="11"/>
        <v>332</v>
      </c>
      <c r="BM8" s="652">
        <f t="shared" si="17"/>
        <v>332</v>
      </c>
    </row>
    <row r="9" spans="1:65" ht="23.25">
      <c r="A9" s="553">
        <v>46239</v>
      </c>
      <c r="B9" s="554">
        <f>'5'!C4</f>
        <v>13.5</v>
      </c>
      <c r="C9" s="555">
        <f>'5'!D4</f>
        <v>10.5</v>
      </c>
      <c r="D9" s="555">
        <f>'5'!E4</f>
        <v>0</v>
      </c>
      <c r="E9" s="556">
        <f>'5'!F4</f>
        <v>0</v>
      </c>
      <c r="F9" s="559">
        <f t="shared" si="12"/>
        <v>24</v>
      </c>
      <c r="G9" s="554">
        <f>'5'!E6</f>
        <v>105</v>
      </c>
      <c r="H9" s="558">
        <f>'5'!F6</f>
        <v>15</v>
      </c>
      <c r="I9" s="581">
        <f t="shared" si="13"/>
        <v>7</v>
      </c>
      <c r="J9" s="582">
        <f>'5'!E7</f>
        <v>0</v>
      </c>
      <c r="K9" s="583">
        <f>'5'!F7</f>
        <v>0</v>
      </c>
      <c r="L9" s="581" t="e">
        <f t="shared" si="14"/>
        <v>#DIV/0!</v>
      </c>
      <c r="M9" s="584">
        <f>'5'!E8</f>
        <v>148</v>
      </c>
      <c r="N9" s="585">
        <f>'5'!F8</f>
        <v>24</v>
      </c>
      <c r="O9" s="586">
        <f t="shared" si="18"/>
        <v>6.166666666666667</v>
      </c>
      <c r="P9" s="585">
        <f>'5'!E9</f>
        <v>0</v>
      </c>
      <c r="Q9" s="603">
        <f>'5'!F9</f>
        <v>0</v>
      </c>
      <c r="R9" s="581" t="e">
        <f t="shared" si="19"/>
        <v>#DIV/0!</v>
      </c>
      <c r="S9" s="585">
        <f>'5'!E10</f>
        <v>0</v>
      </c>
      <c r="T9" s="603">
        <f>'5'!F10</f>
        <v>0</v>
      </c>
      <c r="U9" s="605" t="e">
        <f t="shared" si="15"/>
        <v>#DIV/0!</v>
      </c>
      <c r="V9" s="604">
        <f>'5'!E12</f>
        <v>0</v>
      </c>
      <c r="W9" s="613">
        <f>'5'!F12</f>
        <v>0</v>
      </c>
      <c r="X9" s="559" t="e">
        <f t="shared" si="0"/>
        <v>#DIV/0!</v>
      </c>
      <c r="Y9" s="584">
        <f>'5'!E13</f>
        <v>0</v>
      </c>
      <c r="Z9" s="613">
        <f>'5'!F13</f>
        <v>0</v>
      </c>
      <c r="AA9" s="617" t="e">
        <f t="shared" si="1"/>
        <v>#DIV/0!</v>
      </c>
      <c r="AB9" s="615">
        <f>'5'!E14</f>
        <v>0</v>
      </c>
      <c r="AC9" s="616">
        <f>'5'!F14</f>
        <v>0</v>
      </c>
      <c r="AD9" s="581" t="e">
        <f t="shared" si="16"/>
        <v>#DIV/0!</v>
      </c>
      <c r="AE9" s="604">
        <f>'5'!E15</f>
        <v>0</v>
      </c>
      <c r="AF9" s="613">
        <f>'5'!F15</f>
        <v>0</v>
      </c>
      <c r="AG9" s="559" t="e">
        <f t="shared" si="20"/>
        <v>#DIV/0!</v>
      </c>
      <c r="AH9" s="604">
        <f>'5'!E16</f>
        <v>0</v>
      </c>
      <c r="AI9" s="613">
        <f>'5'!F16</f>
        <v>0</v>
      </c>
      <c r="AJ9" s="559" t="e">
        <f t="shared" si="2"/>
        <v>#DIV/0!</v>
      </c>
      <c r="AK9" s="629">
        <f>'5'!E17</f>
        <v>0</v>
      </c>
      <c r="AL9" s="632">
        <f>'5'!E18</f>
        <v>0</v>
      </c>
      <c r="AM9" s="604">
        <f>'5'!E19</f>
        <v>0</v>
      </c>
      <c r="AN9" s="633">
        <f>'5'!F19</f>
        <v>0</v>
      </c>
      <c r="AO9" s="637" t="e">
        <f t="shared" si="3"/>
        <v>#DIV/0!</v>
      </c>
      <c r="AP9" s="633">
        <f>'5'!E20</f>
        <v>0</v>
      </c>
      <c r="AQ9" s="633">
        <f>'5'!F20</f>
        <v>0</v>
      </c>
      <c r="AR9" s="638" t="e">
        <f t="shared" si="4"/>
        <v>#DIV/0!</v>
      </c>
      <c r="AS9" s="636">
        <f>'5'!E21</f>
        <v>0</v>
      </c>
      <c r="AT9" s="633">
        <f>'5'!E22</f>
        <v>0</v>
      </c>
      <c r="AU9" s="633">
        <f>'5'!F22</f>
        <v>0</v>
      </c>
      <c r="AV9" s="649" t="e">
        <f t="shared" si="5"/>
        <v>#DIV/0!</v>
      </c>
      <c r="AW9" s="633">
        <f>'5'!E23</f>
        <v>0</v>
      </c>
      <c r="AX9" s="633">
        <f>'5'!F23</f>
        <v>0</v>
      </c>
      <c r="AY9" s="643" t="e">
        <f t="shared" si="6"/>
        <v>#DIV/0!</v>
      </c>
      <c r="AZ9" s="633">
        <f>'5'!E24</f>
        <v>0</v>
      </c>
      <c r="BA9" s="633">
        <f>'5'!F24</f>
        <v>0</v>
      </c>
      <c r="BB9" s="643" t="e">
        <f t="shared" si="7"/>
        <v>#DIV/0!</v>
      </c>
      <c r="BC9" s="633">
        <f>'5'!E25</f>
        <v>0</v>
      </c>
      <c r="BD9" s="633">
        <f>'5'!F25</f>
        <v>0</v>
      </c>
      <c r="BE9" s="643" t="e">
        <f t="shared" si="8"/>
        <v>#DIV/0!</v>
      </c>
      <c r="BF9" s="633">
        <f>'5'!E26</f>
        <v>0</v>
      </c>
      <c r="BG9" s="633">
        <f>'5'!F26</f>
        <v>0</v>
      </c>
      <c r="BH9" s="643" t="e">
        <f t="shared" si="9"/>
        <v>#DIV/0!</v>
      </c>
      <c r="BI9" s="633">
        <f>'5'!E27</f>
        <v>0</v>
      </c>
      <c r="BJ9" s="633">
        <f>'5'!F27</f>
        <v>0</v>
      </c>
      <c r="BK9" s="643" t="e">
        <f t="shared" si="10"/>
        <v>#DIV/0!</v>
      </c>
      <c r="BL9" s="651">
        <f t="shared" si="11"/>
        <v>253</v>
      </c>
      <c r="BM9" s="652">
        <f t="shared" si="17"/>
        <v>253</v>
      </c>
    </row>
    <row r="10" spans="1:65" ht="23.25">
      <c r="A10" s="553">
        <v>46240</v>
      </c>
      <c r="B10" s="554">
        <f>'6'!C4</f>
        <v>0</v>
      </c>
      <c r="C10" s="555">
        <f>'6'!D4</f>
        <v>1</v>
      </c>
      <c r="D10" s="555">
        <f>'6'!E4</f>
        <v>23</v>
      </c>
      <c r="E10" s="556">
        <f>'6'!F4</f>
        <v>0</v>
      </c>
      <c r="F10" s="559">
        <f t="shared" si="12"/>
        <v>24</v>
      </c>
      <c r="G10" s="554">
        <f>'6'!E6</f>
        <v>12</v>
      </c>
      <c r="H10" s="558">
        <f>'6'!F6</f>
        <v>2</v>
      </c>
      <c r="I10" s="581">
        <f t="shared" si="13"/>
        <v>6</v>
      </c>
      <c r="J10" s="582">
        <f>'6'!E7</f>
        <v>0</v>
      </c>
      <c r="K10" s="583">
        <f>'6'!F7</f>
        <v>0</v>
      </c>
      <c r="L10" s="581" t="e">
        <f t="shared" si="14"/>
        <v>#DIV/0!</v>
      </c>
      <c r="M10" s="584">
        <f>'6'!E8</f>
        <v>0</v>
      </c>
      <c r="N10" s="585">
        <f>'6'!F8</f>
        <v>0</v>
      </c>
      <c r="O10" s="586" t="e">
        <f t="shared" si="18"/>
        <v>#DIV/0!</v>
      </c>
      <c r="P10" s="585">
        <f>'6'!E9</f>
        <v>155</v>
      </c>
      <c r="Q10" s="603">
        <f>'6'!F9</f>
        <v>24</v>
      </c>
      <c r="R10" s="581">
        <f t="shared" si="19"/>
        <v>6.458333333333333</v>
      </c>
      <c r="S10" s="585">
        <f>'6'!E10</f>
        <v>0</v>
      </c>
      <c r="T10" s="603">
        <f>'6'!F10</f>
        <v>0</v>
      </c>
      <c r="U10" s="605" t="e">
        <f t="shared" si="15"/>
        <v>#DIV/0!</v>
      </c>
      <c r="V10" s="604">
        <f>'6'!E11</f>
        <v>0</v>
      </c>
      <c r="W10" s="613">
        <f>'6'!F11</f>
        <v>0</v>
      </c>
      <c r="X10" s="559" t="e">
        <f t="shared" si="0"/>
        <v>#DIV/0!</v>
      </c>
      <c r="Y10" s="584">
        <f>'6'!E12</f>
        <v>0</v>
      </c>
      <c r="Z10" s="613">
        <f>'6'!F12</f>
        <v>0</v>
      </c>
      <c r="AA10" s="617" t="e">
        <f t="shared" si="1"/>
        <v>#DIV/0!</v>
      </c>
      <c r="AB10" s="615">
        <f>'6'!E13</f>
        <v>0</v>
      </c>
      <c r="AC10" s="616">
        <f>'6'!F13</f>
        <v>0</v>
      </c>
      <c r="AD10" s="581" t="e">
        <f t="shared" si="16"/>
        <v>#DIV/0!</v>
      </c>
      <c r="AE10" s="604">
        <f>'6'!E14</f>
        <v>0</v>
      </c>
      <c r="AF10" s="613">
        <f>'6'!F14</f>
        <v>0</v>
      </c>
      <c r="AG10" s="559" t="e">
        <f t="shared" si="20"/>
        <v>#DIV/0!</v>
      </c>
      <c r="AH10" s="604">
        <f>'6'!E15</f>
        <v>0</v>
      </c>
      <c r="AI10" s="613">
        <f>'6'!F15</f>
        <v>0</v>
      </c>
      <c r="AJ10" s="559" t="e">
        <f t="shared" si="2"/>
        <v>#DIV/0!</v>
      </c>
      <c r="AK10" s="629">
        <f>'6'!E16</f>
        <v>0</v>
      </c>
      <c r="AL10" s="632">
        <f>'6'!E17</f>
        <v>0</v>
      </c>
      <c r="AM10" s="604">
        <f>'6'!E18</f>
        <v>0</v>
      </c>
      <c r="AN10" s="633">
        <f>'6'!F18</f>
        <v>0</v>
      </c>
      <c r="AO10" s="637" t="e">
        <f t="shared" si="3"/>
        <v>#DIV/0!</v>
      </c>
      <c r="AP10" s="633">
        <f>'6'!E19</f>
        <v>0</v>
      </c>
      <c r="AQ10" s="633">
        <f>'6'!F19</f>
        <v>0</v>
      </c>
      <c r="AR10" s="638" t="e">
        <f t="shared" si="4"/>
        <v>#DIV/0!</v>
      </c>
      <c r="AS10" s="636">
        <f>'6'!E20</f>
        <v>0</v>
      </c>
      <c r="AT10" s="633">
        <f>'6'!E21</f>
        <v>0</v>
      </c>
      <c r="AU10" s="633">
        <f>'6'!F21</f>
        <v>0</v>
      </c>
      <c r="AV10" s="649" t="e">
        <f t="shared" si="5"/>
        <v>#DIV/0!</v>
      </c>
      <c r="AW10" s="633">
        <f>'6'!E22</f>
        <v>0</v>
      </c>
      <c r="AX10" s="633">
        <f>'6'!F22</f>
        <v>0</v>
      </c>
      <c r="AY10" s="643" t="e">
        <f t="shared" si="6"/>
        <v>#DIV/0!</v>
      </c>
      <c r="AZ10" s="633">
        <f>'6'!E23</f>
        <v>0</v>
      </c>
      <c r="BA10" s="633">
        <f>'6'!F23</f>
        <v>0</v>
      </c>
      <c r="BB10" s="643" t="e">
        <f t="shared" si="7"/>
        <v>#DIV/0!</v>
      </c>
      <c r="BC10" s="633">
        <f>'6'!E24</f>
        <v>0</v>
      </c>
      <c r="BD10" s="633">
        <f>'6'!F24</f>
        <v>0</v>
      </c>
      <c r="BE10" s="643" t="e">
        <f t="shared" si="8"/>
        <v>#DIV/0!</v>
      </c>
      <c r="BF10" s="633">
        <f>'6'!E25</f>
        <v>0</v>
      </c>
      <c r="BG10" s="633">
        <f>'6'!F25</f>
        <v>0</v>
      </c>
      <c r="BH10" s="643" t="e">
        <f t="shared" si="9"/>
        <v>#DIV/0!</v>
      </c>
      <c r="BI10" s="633">
        <f>'6'!E26</f>
        <v>0</v>
      </c>
      <c r="BJ10" s="633">
        <f>'6'!F26</f>
        <v>0</v>
      </c>
      <c r="BK10" s="643" t="e">
        <f t="shared" si="10"/>
        <v>#DIV/0!</v>
      </c>
      <c r="BL10" s="651">
        <f t="shared" si="11"/>
        <v>167</v>
      </c>
      <c r="BM10" s="652">
        <f t="shared" si="17"/>
        <v>167</v>
      </c>
    </row>
    <row r="11" spans="1:65" ht="23.25">
      <c r="A11" s="553">
        <v>46241</v>
      </c>
      <c r="B11" s="554">
        <f>'7'!C4</f>
        <v>19.5</v>
      </c>
      <c r="C11" s="555">
        <f>'7'!D4</f>
        <v>1</v>
      </c>
      <c r="D11" s="555">
        <f>'7'!E4</f>
        <v>3.5</v>
      </c>
      <c r="E11" s="556">
        <f>'7'!F4</f>
        <v>0</v>
      </c>
      <c r="F11" s="559">
        <f t="shared" si="12"/>
        <v>24</v>
      </c>
      <c r="G11" s="554">
        <f>'7'!E6</f>
        <v>130</v>
      </c>
      <c r="H11" s="558">
        <f>'7'!F6</f>
        <v>20.5</v>
      </c>
      <c r="I11" s="581">
        <f t="shared" si="13"/>
        <v>6.3414634146341466</v>
      </c>
      <c r="J11" s="582">
        <f>'7'!E7</f>
        <v>60</v>
      </c>
      <c r="K11" s="583">
        <f>'7'!F7</f>
        <v>3.5</v>
      </c>
      <c r="L11" s="581">
        <f t="shared" si="14"/>
        <v>17.142857142857142</v>
      </c>
      <c r="M11" s="584">
        <f>'7'!E8</f>
        <v>148</v>
      </c>
      <c r="N11" s="585">
        <f>'7'!F8</f>
        <v>24</v>
      </c>
      <c r="O11" s="586">
        <f t="shared" si="18"/>
        <v>6.166666666666667</v>
      </c>
      <c r="P11" s="585">
        <f>'7'!E9</f>
        <v>0</v>
      </c>
      <c r="Q11" s="603">
        <f>'7'!F9</f>
        <v>0</v>
      </c>
      <c r="R11" s="581" t="e">
        <f t="shared" si="19"/>
        <v>#DIV/0!</v>
      </c>
      <c r="S11" s="585">
        <f>'7'!E10</f>
        <v>0</v>
      </c>
      <c r="T11" s="603">
        <f>'7'!F10</f>
        <v>0</v>
      </c>
      <c r="U11" s="605" t="e">
        <f t="shared" si="15"/>
        <v>#DIV/0!</v>
      </c>
      <c r="V11" s="604">
        <f>'7'!E12</f>
        <v>0</v>
      </c>
      <c r="W11" s="613">
        <f>'7'!F12</f>
        <v>0</v>
      </c>
      <c r="X11" s="559" t="e">
        <f t="shared" si="0"/>
        <v>#DIV/0!</v>
      </c>
      <c r="Y11" s="584">
        <f>'7'!E13</f>
        <v>0</v>
      </c>
      <c r="Z11" s="613">
        <f>'7'!F13</f>
        <v>0</v>
      </c>
      <c r="AA11" s="617" t="e">
        <f t="shared" si="1"/>
        <v>#DIV/0!</v>
      </c>
      <c r="AB11" s="615">
        <f>'7'!E14</f>
        <v>0</v>
      </c>
      <c r="AC11" s="616">
        <f>'7'!F14</f>
        <v>0</v>
      </c>
      <c r="AD11" s="581" t="e">
        <f t="shared" si="16"/>
        <v>#DIV/0!</v>
      </c>
      <c r="AE11" s="604">
        <f>'7'!E15</f>
        <v>0</v>
      </c>
      <c r="AF11" s="613">
        <f>'7'!F15</f>
        <v>0</v>
      </c>
      <c r="AG11" s="559" t="e">
        <f t="shared" si="20"/>
        <v>#DIV/0!</v>
      </c>
      <c r="AH11" s="604">
        <f>'7'!E16</f>
        <v>0</v>
      </c>
      <c r="AI11" s="613">
        <f>'7'!F16</f>
        <v>0</v>
      </c>
      <c r="AJ11" s="559" t="e">
        <f t="shared" si="2"/>
        <v>#DIV/0!</v>
      </c>
      <c r="AK11" s="629">
        <f>'7'!E17</f>
        <v>0</v>
      </c>
      <c r="AL11" s="632">
        <f>'7'!E18</f>
        <v>0</v>
      </c>
      <c r="AM11" s="604">
        <f>'7'!E19</f>
        <v>0</v>
      </c>
      <c r="AN11" s="633">
        <f>'7'!F19</f>
        <v>0</v>
      </c>
      <c r="AO11" s="637" t="e">
        <f t="shared" si="3"/>
        <v>#DIV/0!</v>
      </c>
      <c r="AP11" s="633">
        <f>'7'!E20</f>
        <v>0</v>
      </c>
      <c r="AQ11" s="633">
        <f>'7'!F20</f>
        <v>0</v>
      </c>
      <c r="AR11" s="638" t="e">
        <f t="shared" si="4"/>
        <v>#DIV/0!</v>
      </c>
      <c r="AS11" s="636">
        <f>'7'!E21</f>
        <v>0</v>
      </c>
      <c r="AT11" s="633">
        <f>'7'!E22</f>
        <v>0</v>
      </c>
      <c r="AU11" s="633">
        <f>'7'!F22</f>
        <v>0</v>
      </c>
      <c r="AV11" s="649" t="e">
        <f t="shared" si="5"/>
        <v>#DIV/0!</v>
      </c>
      <c r="AW11" s="633">
        <f>'7'!E23</f>
        <v>0</v>
      </c>
      <c r="AX11" s="633">
        <f>'7'!F23</f>
        <v>0</v>
      </c>
      <c r="AY11" s="643" t="e">
        <f t="shared" si="6"/>
        <v>#DIV/0!</v>
      </c>
      <c r="AZ11" s="633">
        <f>'7'!E24</f>
        <v>0</v>
      </c>
      <c r="BA11" s="633">
        <f>'7'!F24</f>
        <v>0</v>
      </c>
      <c r="BB11" s="643" t="e">
        <f t="shared" si="7"/>
        <v>#DIV/0!</v>
      </c>
      <c r="BC11" s="633">
        <f>'7'!E25</f>
        <v>0</v>
      </c>
      <c r="BD11" s="633">
        <f>'7'!F25</f>
        <v>0</v>
      </c>
      <c r="BE11" s="643" t="e">
        <f t="shared" si="8"/>
        <v>#DIV/0!</v>
      </c>
      <c r="BF11" s="633">
        <f>'7'!E26</f>
        <v>0</v>
      </c>
      <c r="BG11" s="633">
        <f>'7'!F26</f>
        <v>0</v>
      </c>
      <c r="BH11" s="643" t="e">
        <f t="shared" si="9"/>
        <v>#DIV/0!</v>
      </c>
      <c r="BI11" s="633">
        <f>'7'!E27</f>
        <v>0</v>
      </c>
      <c r="BJ11" s="633">
        <f>'7'!F27</f>
        <v>0</v>
      </c>
      <c r="BK11" s="643" t="e">
        <f t="shared" si="10"/>
        <v>#DIV/0!</v>
      </c>
      <c r="BL11" s="651">
        <f t="shared" si="11"/>
        <v>338</v>
      </c>
      <c r="BM11" s="652">
        <f t="shared" si="17"/>
        <v>338</v>
      </c>
    </row>
    <row r="12" spans="1:65" ht="23.25">
      <c r="A12" s="553">
        <v>46242</v>
      </c>
      <c r="B12" s="554">
        <f>'8'!C4</f>
        <v>14.5</v>
      </c>
      <c r="C12" s="555">
        <f>'8'!D4</f>
        <v>1</v>
      </c>
      <c r="D12" s="555">
        <f>'8'!E4</f>
        <v>8.5</v>
      </c>
      <c r="E12" s="556">
        <f>'8'!F4</f>
        <v>0</v>
      </c>
      <c r="F12" s="559">
        <f t="shared" si="12"/>
        <v>24</v>
      </c>
      <c r="G12" s="554">
        <f>'8'!E6</f>
        <v>190</v>
      </c>
      <c r="H12" s="558">
        <f>'8'!F6</f>
        <v>22</v>
      </c>
      <c r="I12" s="581">
        <f t="shared" si="13"/>
        <v>8.6363636363636367</v>
      </c>
      <c r="J12" s="582">
        <f>'8'!E7</f>
        <v>155</v>
      </c>
      <c r="K12" s="583">
        <f>'8'!F7</f>
        <v>8.5</v>
      </c>
      <c r="L12" s="581">
        <f t="shared" si="14"/>
        <v>18.235294117647058</v>
      </c>
      <c r="M12" s="584">
        <f>'8'!E8</f>
        <v>0</v>
      </c>
      <c r="N12" s="585">
        <f>'8'!F8</f>
        <v>0</v>
      </c>
      <c r="O12" s="586" t="e">
        <f t="shared" si="18"/>
        <v>#DIV/0!</v>
      </c>
      <c r="P12" s="585">
        <f>'8'!E9</f>
        <v>148</v>
      </c>
      <c r="Q12" s="603">
        <f>'8'!F9</f>
        <v>24</v>
      </c>
      <c r="R12" s="581">
        <f t="shared" si="19"/>
        <v>6.166666666666667</v>
      </c>
      <c r="S12" s="585">
        <f>'8'!E10</f>
        <v>0</v>
      </c>
      <c r="T12" s="603">
        <f>'8'!F10</f>
        <v>0</v>
      </c>
      <c r="U12" s="605" t="e">
        <f t="shared" si="15"/>
        <v>#DIV/0!</v>
      </c>
      <c r="V12" s="604">
        <f>'8'!E12</f>
        <v>0</v>
      </c>
      <c r="W12" s="613">
        <f>'8'!F12</f>
        <v>0</v>
      </c>
      <c r="X12" s="559" t="e">
        <f t="shared" si="0"/>
        <v>#DIV/0!</v>
      </c>
      <c r="Y12" s="584">
        <f>'8'!E13</f>
        <v>3</v>
      </c>
      <c r="Z12" s="613">
        <f>'8'!F13</f>
        <v>1</v>
      </c>
      <c r="AA12" s="617">
        <f t="shared" si="1"/>
        <v>3</v>
      </c>
      <c r="AB12" s="615">
        <f>'8'!E14</f>
        <v>0</v>
      </c>
      <c r="AC12" s="616">
        <f>'8'!F14</f>
        <v>0</v>
      </c>
      <c r="AD12" s="581" t="e">
        <f t="shared" si="16"/>
        <v>#DIV/0!</v>
      </c>
      <c r="AE12" s="604">
        <f>'8'!E15</f>
        <v>0</v>
      </c>
      <c r="AF12" s="613">
        <f>'8'!F15</f>
        <v>0</v>
      </c>
      <c r="AG12" s="559" t="e">
        <f t="shared" si="20"/>
        <v>#DIV/0!</v>
      </c>
      <c r="AH12" s="604">
        <f>'8'!E16</f>
        <v>0</v>
      </c>
      <c r="AI12" s="613">
        <f>'8'!F16</f>
        <v>0</v>
      </c>
      <c r="AJ12" s="559" t="e">
        <f t="shared" si="2"/>
        <v>#DIV/0!</v>
      </c>
      <c r="AK12" s="629">
        <f>'8'!E17</f>
        <v>0</v>
      </c>
      <c r="AL12" s="632">
        <f>'8'!E18</f>
        <v>0</v>
      </c>
      <c r="AM12" s="604">
        <f>'8'!E19</f>
        <v>0</v>
      </c>
      <c r="AN12" s="633">
        <f>'8'!F19</f>
        <v>0</v>
      </c>
      <c r="AO12" s="637" t="e">
        <f t="shared" si="3"/>
        <v>#DIV/0!</v>
      </c>
      <c r="AP12" s="633">
        <f>'8'!E20</f>
        <v>0</v>
      </c>
      <c r="AQ12" s="633">
        <f>'8'!F20</f>
        <v>0</v>
      </c>
      <c r="AR12" s="638" t="e">
        <f t="shared" si="4"/>
        <v>#DIV/0!</v>
      </c>
      <c r="AS12" s="636">
        <f>'8'!E21</f>
        <v>0</v>
      </c>
      <c r="AT12" s="633">
        <f>'8'!E22</f>
        <v>0</v>
      </c>
      <c r="AU12" s="633">
        <f>'8'!F22</f>
        <v>0</v>
      </c>
      <c r="AV12" s="649" t="e">
        <f t="shared" si="5"/>
        <v>#DIV/0!</v>
      </c>
      <c r="AW12" s="633">
        <f>'8'!E23</f>
        <v>0</v>
      </c>
      <c r="AX12" s="633">
        <f>'8'!F23</f>
        <v>0</v>
      </c>
      <c r="AY12" s="643" t="e">
        <f t="shared" si="6"/>
        <v>#DIV/0!</v>
      </c>
      <c r="AZ12" s="633">
        <f>'8'!E24</f>
        <v>0</v>
      </c>
      <c r="BA12" s="633">
        <f>'8'!F24</f>
        <v>0</v>
      </c>
      <c r="BB12" s="643" t="e">
        <f t="shared" si="7"/>
        <v>#DIV/0!</v>
      </c>
      <c r="BC12" s="633">
        <f>'8'!E25</f>
        <v>0</v>
      </c>
      <c r="BD12" s="633">
        <f>'8'!F25</f>
        <v>0</v>
      </c>
      <c r="BE12" s="643" t="e">
        <f t="shared" si="8"/>
        <v>#DIV/0!</v>
      </c>
      <c r="BF12" s="633">
        <f>'8'!E26</f>
        <v>0</v>
      </c>
      <c r="BG12" s="633">
        <f>'8'!F26</f>
        <v>0</v>
      </c>
      <c r="BH12" s="643" t="e">
        <f t="shared" si="9"/>
        <v>#DIV/0!</v>
      </c>
      <c r="BI12" s="633">
        <f>'8'!E27</f>
        <v>0</v>
      </c>
      <c r="BJ12" s="633">
        <f>'8'!F27</f>
        <v>0</v>
      </c>
      <c r="BK12" s="643" t="e">
        <f t="shared" si="10"/>
        <v>#DIV/0!</v>
      </c>
      <c r="BL12" s="651">
        <f t="shared" si="11"/>
        <v>496</v>
      </c>
      <c r="BM12" s="652">
        <f t="shared" si="17"/>
        <v>496</v>
      </c>
    </row>
    <row r="13" spans="1:65" ht="23.25">
      <c r="A13" s="553">
        <v>46243</v>
      </c>
      <c r="B13" s="554">
        <f>'9'!C4</f>
        <v>15.25</v>
      </c>
      <c r="C13" s="555">
        <f>'9'!D4</f>
        <v>1.5</v>
      </c>
      <c r="D13" s="555">
        <f>'9'!E4</f>
        <v>7.25</v>
      </c>
      <c r="E13" s="556">
        <f>'9'!F4</f>
        <v>0</v>
      </c>
      <c r="F13" s="559">
        <f t="shared" si="12"/>
        <v>24</v>
      </c>
      <c r="G13" s="554">
        <f>'9'!E6</f>
        <v>138</v>
      </c>
      <c r="H13" s="558">
        <f>'9'!F6</f>
        <v>16.3</v>
      </c>
      <c r="I13" s="581">
        <f t="shared" si="13"/>
        <v>8.4662576687116555</v>
      </c>
      <c r="J13" s="582">
        <f>'9'!E7</f>
        <v>292</v>
      </c>
      <c r="K13" s="583">
        <f>'9'!F7</f>
        <v>14.5</v>
      </c>
      <c r="L13" s="581">
        <f t="shared" si="14"/>
        <v>20.137931034482758</v>
      </c>
      <c r="M13" s="584">
        <f>'9'!E8</f>
        <v>160</v>
      </c>
      <c r="N13" s="585">
        <f>'9'!F8</f>
        <v>24</v>
      </c>
      <c r="O13" s="586">
        <f t="shared" si="18"/>
        <v>6.666666666666667</v>
      </c>
      <c r="P13" s="585">
        <f>'9'!E9</f>
        <v>0</v>
      </c>
      <c r="Q13" s="603">
        <f>'9'!F9</f>
        <v>0</v>
      </c>
      <c r="R13" s="581" t="e">
        <f t="shared" si="19"/>
        <v>#DIV/0!</v>
      </c>
      <c r="S13" s="585">
        <f>'9'!E10</f>
        <v>0</v>
      </c>
      <c r="T13" s="603">
        <f>'9'!F10</f>
        <v>0</v>
      </c>
      <c r="U13" s="605" t="e">
        <f t="shared" si="15"/>
        <v>#DIV/0!</v>
      </c>
      <c r="V13" s="604">
        <f>'9'!E12</f>
        <v>0</v>
      </c>
      <c r="W13" s="613">
        <f>'9'!F12</f>
        <v>0</v>
      </c>
      <c r="X13" s="559" t="e">
        <f t="shared" si="0"/>
        <v>#DIV/0!</v>
      </c>
      <c r="Y13" s="584">
        <f>'9'!E13</f>
        <v>0</v>
      </c>
      <c r="Z13" s="613">
        <f>'9'!F13</f>
        <v>0</v>
      </c>
      <c r="AA13" s="617" t="e">
        <f t="shared" si="1"/>
        <v>#DIV/0!</v>
      </c>
      <c r="AB13" s="615">
        <f>'9'!E14</f>
        <v>0</v>
      </c>
      <c r="AC13" s="616">
        <f>'9'!F14</f>
        <v>0</v>
      </c>
      <c r="AD13" s="581" t="e">
        <f t="shared" si="16"/>
        <v>#DIV/0!</v>
      </c>
      <c r="AE13" s="604">
        <f>'9'!E15</f>
        <v>0</v>
      </c>
      <c r="AF13" s="613">
        <f>'9'!F15</f>
        <v>0</v>
      </c>
      <c r="AG13" s="559" t="e">
        <f t="shared" si="20"/>
        <v>#DIV/0!</v>
      </c>
      <c r="AH13" s="604">
        <f>'9'!E16</f>
        <v>0</v>
      </c>
      <c r="AI13" s="613">
        <f>'9'!F16</f>
        <v>0</v>
      </c>
      <c r="AJ13" s="559" t="e">
        <f t="shared" si="2"/>
        <v>#DIV/0!</v>
      </c>
      <c r="AK13" s="629">
        <f>'9'!E17</f>
        <v>0</v>
      </c>
      <c r="AL13" s="632">
        <f>'9'!E18</f>
        <v>0</v>
      </c>
      <c r="AM13" s="604">
        <f>'9'!E19</f>
        <v>0</v>
      </c>
      <c r="AN13" s="633">
        <f>'9'!F19</f>
        <v>0</v>
      </c>
      <c r="AO13" s="637" t="e">
        <f t="shared" si="3"/>
        <v>#DIV/0!</v>
      </c>
      <c r="AP13" s="633">
        <f>'9'!E20</f>
        <v>0</v>
      </c>
      <c r="AQ13" s="633">
        <f>'9'!F20</f>
        <v>0</v>
      </c>
      <c r="AR13" s="638" t="e">
        <f t="shared" si="4"/>
        <v>#DIV/0!</v>
      </c>
      <c r="AS13" s="636">
        <f>'9'!E21</f>
        <v>0</v>
      </c>
      <c r="AT13" s="633">
        <f>'9'!E22</f>
        <v>0</v>
      </c>
      <c r="AU13" s="633">
        <f>'9'!F22</f>
        <v>0</v>
      </c>
      <c r="AV13" s="649" t="e">
        <f t="shared" si="5"/>
        <v>#DIV/0!</v>
      </c>
      <c r="AW13" s="633">
        <f>'9'!E23</f>
        <v>0</v>
      </c>
      <c r="AX13" s="633">
        <f>'9'!F23</f>
        <v>0</v>
      </c>
      <c r="AY13" s="643" t="e">
        <f t="shared" si="6"/>
        <v>#DIV/0!</v>
      </c>
      <c r="AZ13" s="633">
        <f>'9'!E24</f>
        <v>0</v>
      </c>
      <c r="BA13" s="633">
        <f>'9'!F24</f>
        <v>0</v>
      </c>
      <c r="BB13" s="643" t="e">
        <f t="shared" si="7"/>
        <v>#DIV/0!</v>
      </c>
      <c r="BC13" s="633">
        <f>'9'!E25</f>
        <v>0</v>
      </c>
      <c r="BD13" s="633">
        <f>'9'!F25</f>
        <v>0</v>
      </c>
      <c r="BE13" s="643" t="e">
        <f t="shared" si="8"/>
        <v>#DIV/0!</v>
      </c>
      <c r="BF13" s="633">
        <f>'9'!E26</f>
        <v>0</v>
      </c>
      <c r="BG13" s="633">
        <f>'9'!F26</f>
        <v>0</v>
      </c>
      <c r="BH13" s="643" t="e">
        <f t="shared" si="9"/>
        <v>#DIV/0!</v>
      </c>
      <c r="BI13" s="633">
        <f>'9'!E27</f>
        <v>0</v>
      </c>
      <c r="BJ13" s="633">
        <f>'9'!F27</f>
        <v>0</v>
      </c>
      <c r="BK13" s="643" t="e">
        <f t="shared" si="10"/>
        <v>#DIV/0!</v>
      </c>
      <c r="BL13" s="651">
        <f t="shared" si="11"/>
        <v>590</v>
      </c>
      <c r="BM13" s="652">
        <f t="shared" si="17"/>
        <v>590</v>
      </c>
    </row>
    <row r="14" spans="1:65" ht="23.25">
      <c r="A14" s="553">
        <v>46244</v>
      </c>
      <c r="B14" s="554">
        <f>'10'!C4</f>
        <v>11</v>
      </c>
      <c r="C14" s="555">
        <f>'10'!D4</f>
        <v>2</v>
      </c>
      <c r="D14" s="555">
        <f>'10'!E4</f>
        <v>11</v>
      </c>
      <c r="E14" s="556">
        <f>'10'!F4</f>
        <v>0</v>
      </c>
      <c r="F14" s="559">
        <f t="shared" si="12"/>
        <v>24</v>
      </c>
      <c r="G14" s="554">
        <f>'10'!E6</f>
        <v>90</v>
      </c>
      <c r="H14" s="558">
        <f>'10'!F6</f>
        <v>14.5</v>
      </c>
      <c r="I14" s="581">
        <f t="shared" si="13"/>
        <v>6.2068965517241379</v>
      </c>
      <c r="J14" s="582">
        <f>'10'!E7</f>
        <v>13</v>
      </c>
      <c r="K14" s="583">
        <f>'10'!F7</f>
        <v>1</v>
      </c>
      <c r="L14" s="581">
        <f t="shared" si="14"/>
        <v>13</v>
      </c>
      <c r="M14" s="584">
        <f>'10'!E8</f>
        <v>0</v>
      </c>
      <c r="N14" s="585">
        <f>'10'!F8</f>
        <v>0</v>
      </c>
      <c r="O14" s="586" t="e">
        <f t="shared" si="18"/>
        <v>#DIV/0!</v>
      </c>
      <c r="P14" s="585">
        <f>'10'!E9</f>
        <v>144</v>
      </c>
      <c r="Q14" s="603">
        <f>'10'!F9</f>
        <v>24</v>
      </c>
      <c r="R14" s="581">
        <f t="shared" si="19"/>
        <v>6</v>
      </c>
      <c r="S14" s="585">
        <f>'10'!E10</f>
        <v>0</v>
      </c>
      <c r="T14" s="603">
        <f>'10'!F10</f>
        <v>0</v>
      </c>
      <c r="U14" s="605" t="e">
        <f t="shared" si="15"/>
        <v>#DIV/0!</v>
      </c>
      <c r="V14" s="604">
        <f>'10'!E12</f>
        <v>0</v>
      </c>
      <c r="W14" s="613">
        <f>'10'!F12</f>
        <v>0</v>
      </c>
      <c r="X14" s="559" t="e">
        <f t="shared" si="0"/>
        <v>#DIV/0!</v>
      </c>
      <c r="Y14" s="584">
        <f>'10'!E13</f>
        <v>0</v>
      </c>
      <c r="Z14" s="613">
        <f>'10'!F13</f>
        <v>0</v>
      </c>
      <c r="AA14" s="617" t="e">
        <f t="shared" si="1"/>
        <v>#DIV/0!</v>
      </c>
      <c r="AB14" s="615">
        <f>'10'!E14</f>
        <v>0</v>
      </c>
      <c r="AC14" s="616">
        <f>'10'!F14</f>
        <v>0</v>
      </c>
      <c r="AD14" s="581" t="e">
        <f t="shared" si="16"/>
        <v>#DIV/0!</v>
      </c>
      <c r="AE14" s="604">
        <f>'10'!E15</f>
        <v>0</v>
      </c>
      <c r="AF14" s="613">
        <f>'10'!F15</f>
        <v>0</v>
      </c>
      <c r="AG14" s="559" t="e">
        <f t="shared" si="20"/>
        <v>#DIV/0!</v>
      </c>
      <c r="AH14" s="604">
        <f>'10'!E16</f>
        <v>0</v>
      </c>
      <c r="AI14" s="613">
        <f>'10'!F16</f>
        <v>0</v>
      </c>
      <c r="AJ14" s="559" t="e">
        <f t="shared" si="2"/>
        <v>#DIV/0!</v>
      </c>
      <c r="AK14" s="629">
        <f>'10'!E17</f>
        <v>0</v>
      </c>
      <c r="AL14" s="632">
        <f>'10'!E18</f>
        <v>0</v>
      </c>
      <c r="AM14" s="604">
        <f>'10'!E19</f>
        <v>0</v>
      </c>
      <c r="AN14" s="633">
        <f>'10'!F19</f>
        <v>0</v>
      </c>
      <c r="AO14" s="637" t="e">
        <f t="shared" si="3"/>
        <v>#DIV/0!</v>
      </c>
      <c r="AP14" s="633">
        <f>'10'!E20</f>
        <v>0</v>
      </c>
      <c r="AQ14" s="633">
        <f>'10'!F20</f>
        <v>0</v>
      </c>
      <c r="AR14" s="638" t="e">
        <f t="shared" si="4"/>
        <v>#DIV/0!</v>
      </c>
      <c r="AS14" s="636">
        <f>'10'!E21</f>
        <v>0</v>
      </c>
      <c r="AT14" s="633">
        <f>'10'!E22</f>
        <v>0</v>
      </c>
      <c r="AU14" s="633">
        <f>'10'!F22</f>
        <v>0</v>
      </c>
      <c r="AV14" s="649" t="e">
        <f t="shared" si="5"/>
        <v>#DIV/0!</v>
      </c>
      <c r="AW14" s="633">
        <f>'10'!E23</f>
        <v>0</v>
      </c>
      <c r="AX14" s="633">
        <f>'10'!F23</f>
        <v>0</v>
      </c>
      <c r="AY14" s="643" t="e">
        <f t="shared" si="6"/>
        <v>#DIV/0!</v>
      </c>
      <c r="AZ14" s="633">
        <f>'10'!E24</f>
        <v>0</v>
      </c>
      <c r="BA14" s="633">
        <f>'10'!F24</f>
        <v>0</v>
      </c>
      <c r="BB14" s="643" t="e">
        <f t="shared" si="7"/>
        <v>#DIV/0!</v>
      </c>
      <c r="BC14" s="633">
        <f>'10'!E25</f>
        <v>0</v>
      </c>
      <c r="BD14" s="633">
        <f>'10'!F25</f>
        <v>0</v>
      </c>
      <c r="BE14" s="643" t="e">
        <f t="shared" si="8"/>
        <v>#DIV/0!</v>
      </c>
      <c r="BF14" s="633">
        <f>'10'!E26</f>
        <v>0</v>
      </c>
      <c r="BG14" s="633">
        <f>'10'!F26</f>
        <v>0</v>
      </c>
      <c r="BH14" s="643" t="e">
        <f t="shared" si="9"/>
        <v>#DIV/0!</v>
      </c>
      <c r="BI14" s="633">
        <f>'10'!E27</f>
        <v>0</v>
      </c>
      <c r="BJ14" s="633">
        <f>'10'!F27</f>
        <v>0</v>
      </c>
      <c r="BK14" s="643" t="e">
        <f t="shared" si="10"/>
        <v>#DIV/0!</v>
      </c>
      <c r="BL14" s="651">
        <f t="shared" si="11"/>
        <v>247</v>
      </c>
      <c r="BM14" s="652">
        <f t="shared" si="17"/>
        <v>247</v>
      </c>
    </row>
    <row r="15" spans="1:65" ht="23.25">
      <c r="A15" s="553">
        <v>46245</v>
      </c>
      <c r="B15" s="554">
        <f>'11'!C4</f>
        <v>16</v>
      </c>
      <c r="C15" s="555">
        <f>'11'!D4</f>
        <v>1</v>
      </c>
      <c r="D15" s="555">
        <f>'11'!E4</f>
        <v>7</v>
      </c>
      <c r="E15" s="556">
        <f>'11'!F4</f>
        <v>0</v>
      </c>
      <c r="F15" s="559">
        <f t="shared" si="12"/>
        <v>24</v>
      </c>
      <c r="G15" s="554">
        <f>'11'!E6</f>
        <v>135</v>
      </c>
      <c r="H15" s="558">
        <f>'11'!F6</f>
        <v>18</v>
      </c>
      <c r="I15" s="581">
        <f t="shared" si="13"/>
        <v>7.5</v>
      </c>
      <c r="J15" s="582">
        <f>'11'!E7</f>
        <v>190</v>
      </c>
      <c r="K15" s="583">
        <f>'11'!F7</f>
        <v>10.5</v>
      </c>
      <c r="L15" s="581">
        <f t="shared" si="14"/>
        <v>18.095238095238095</v>
      </c>
      <c r="M15" s="584">
        <f>'11'!E8</f>
        <v>150</v>
      </c>
      <c r="N15" s="585">
        <f>'11'!F8</f>
        <v>24</v>
      </c>
      <c r="O15" s="586">
        <f t="shared" si="18"/>
        <v>6.25</v>
      </c>
      <c r="P15" s="585">
        <f>'11'!E9</f>
        <v>0</v>
      </c>
      <c r="Q15" s="603">
        <f>'11'!F9</f>
        <v>0</v>
      </c>
      <c r="R15" s="581" t="e">
        <f t="shared" si="19"/>
        <v>#DIV/0!</v>
      </c>
      <c r="S15" s="585">
        <f>'11'!E10</f>
        <v>0</v>
      </c>
      <c r="T15" s="603">
        <f>'11'!F10</f>
        <v>0</v>
      </c>
      <c r="U15" s="605" t="e">
        <f t="shared" si="15"/>
        <v>#DIV/0!</v>
      </c>
      <c r="V15" s="604">
        <f>'11'!E12</f>
        <v>0</v>
      </c>
      <c r="W15" s="613">
        <f>'11'!F12</f>
        <v>0</v>
      </c>
      <c r="X15" s="559" t="e">
        <f t="shared" si="0"/>
        <v>#DIV/0!</v>
      </c>
      <c r="Y15" s="584">
        <f>'11'!E13</f>
        <v>0</v>
      </c>
      <c r="Z15" s="613">
        <f>'11'!F13</f>
        <v>0</v>
      </c>
      <c r="AA15" s="617" t="e">
        <f t="shared" si="1"/>
        <v>#DIV/0!</v>
      </c>
      <c r="AB15" s="615">
        <f>'11'!E14</f>
        <v>0</v>
      </c>
      <c r="AC15" s="616">
        <f>'11'!F14</f>
        <v>0</v>
      </c>
      <c r="AD15" s="581" t="e">
        <f t="shared" si="16"/>
        <v>#DIV/0!</v>
      </c>
      <c r="AE15" s="604">
        <f>'11'!E15</f>
        <v>0</v>
      </c>
      <c r="AF15" s="613">
        <f>'11'!F15</f>
        <v>0</v>
      </c>
      <c r="AG15" s="559" t="e">
        <f t="shared" si="20"/>
        <v>#DIV/0!</v>
      </c>
      <c r="AH15" s="604">
        <f>'11'!E16</f>
        <v>0</v>
      </c>
      <c r="AI15" s="613">
        <f>'11'!F16</f>
        <v>0</v>
      </c>
      <c r="AJ15" s="559" t="e">
        <f t="shared" si="2"/>
        <v>#DIV/0!</v>
      </c>
      <c r="AK15" s="629">
        <f>'11'!E17</f>
        <v>0</v>
      </c>
      <c r="AL15" s="632">
        <f>'11'!E18</f>
        <v>0</v>
      </c>
      <c r="AM15" s="604">
        <f>'11'!E19</f>
        <v>0</v>
      </c>
      <c r="AN15" s="633">
        <f>'11'!F19</f>
        <v>0</v>
      </c>
      <c r="AO15" s="637" t="e">
        <f t="shared" si="3"/>
        <v>#DIV/0!</v>
      </c>
      <c r="AP15" s="633">
        <f>'11'!E20</f>
        <v>0</v>
      </c>
      <c r="AQ15" s="633">
        <f>'11'!F20</f>
        <v>0</v>
      </c>
      <c r="AR15" s="638" t="e">
        <f t="shared" si="4"/>
        <v>#DIV/0!</v>
      </c>
      <c r="AS15" s="636">
        <f>'11'!E21</f>
        <v>0</v>
      </c>
      <c r="AT15" s="633">
        <f>'11'!E22</f>
        <v>0</v>
      </c>
      <c r="AU15" s="633">
        <f>'11'!F22</f>
        <v>0</v>
      </c>
      <c r="AV15" s="649" t="e">
        <f t="shared" si="5"/>
        <v>#DIV/0!</v>
      </c>
      <c r="AW15" s="633">
        <f>'11'!E23</f>
        <v>0</v>
      </c>
      <c r="AX15" s="633">
        <f>'11'!F23</f>
        <v>0</v>
      </c>
      <c r="AY15" s="643" t="e">
        <f t="shared" si="6"/>
        <v>#DIV/0!</v>
      </c>
      <c r="AZ15" s="633">
        <f>'11'!E24</f>
        <v>0</v>
      </c>
      <c r="BA15" s="633">
        <f>'11'!F24</f>
        <v>0</v>
      </c>
      <c r="BB15" s="643" t="e">
        <f t="shared" si="7"/>
        <v>#DIV/0!</v>
      </c>
      <c r="BC15" s="633">
        <f>'11'!E25</f>
        <v>0</v>
      </c>
      <c r="BD15" s="633">
        <f>'11'!F25</f>
        <v>0</v>
      </c>
      <c r="BE15" s="643" t="e">
        <f t="shared" si="8"/>
        <v>#DIV/0!</v>
      </c>
      <c r="BF15" s="633">
        <f>'11'!E26</f>
        <v>0</v>
      </c>
      <c r="BG15" s="633">
        <f>'11'!F26</f>
        <v>0</v>
      </c>
      <c r="BH15" s="643" t="e">
        <f t="shared" si="9"/>
        <v>#DIV/0!</v>
      </c>
      <c r="BI15" s="633">
        <f>'11'!E27</f>
        <v>0</v>
      </c>
      <c r="BJ15" s="633">
        <f>'11'!F27</f>
        <v>0</v>
      </c>
      <c r="BK15" s="643" t="e">
        <f t="shared" si="10"/>
        <v>#DIV/0!</v>
      </c>
      <c r="BL15" s="651">
        <f t="shared" si="11"/>
        <v>475</v>
      </c>
      <c r="BM15" s="652">
        <f t="shared" si="17"/>
        <v>475</v>
      </c>
    </row>
    <row r="16" spans="1:65" ht="23.25">
      <c r="A16" s="553">
        <v>46246</v>
      </c>
      <c r="B16" s="554">
        <f>'12'!C4</f>
        <v>15</v>
      </c>
      <c r="C16" s="555">
        <f>'12'!D4</f>
        <v>1</v>
      </c>
      <c r="D16" s="555">
        <f>'12'!E4</f>
        <v>8</v>
      </c>
      <c r="E16" s="556">
        <f>'12'!F4</f>
        <v>0</v>
      </c>
      <c r="F16" s="559">
        <f t="shared" si="12"/>
        <v>24</v>
      </c>
      <c r="G16" s="554">
        <f>'12'!E6</f>
        <v>155</v>
      </c>
      <c r="H16" s="558">
        <f>'12'!F6</f>
        <v>20.399999999999999</v>
      </c>
      <c r="I16" s="581">
        <f t="shared" si="13"/>
        <v>7.598039215686275</v>
      </c>
      <c r="J16" s="582">
        <f>'12'!E7</f>
        <v>37</v>
      </c>
      <c r="K16" s="583">
        <f>'12'!F7</f>
        <v>2</v>
      </c>
      <c r="L16" s="581">
        <f t="shared" si="14"/>
        <v>18.5</v>
      </c>
      <c r="M16" s="584">
        <f>'12'!E8</f>
        <v>0</v>
      </c>
      <c r="N16" s="585">
        <f>'12'!F8</f>
        <v>0</v>
      </c>
      <c r="O16" s="586" t="e">
        <f t="shared" si="18"/>
        <v>#DIV/0!</v>
      </c>
      <c r="P16" s="585">
        <f>'12'!E9</f>
        <v>148</v>
      </c>
      <c r="Q16" s="603">
        <f>'12'!F9</f>
        <v>24</v>
      </c>
      <c r="R16" s="581">
        <f t="shared" si="19"/>
        <v>6.166666666666667</v>
      </c>
      <c r="S16" s="585">
        <f>'12'!E10</f>
        <v>0</v>
      </c>
      <c r="T16" s="603">
        <f>'12'!F10</f>
        <v>0</v>
      </c>
      <c r="U16" s="605" t="e">
        <f t="shared" si="15"/>
        <v>#DIV/0!</v>
      </c>
      <c r="V16" s="604">
        <f>'12'!E12</f>
        <v>0</v>
      </c>
      <c r="W16" s="613">
        <f>'12'!F12</f>
        <v>0</v>
      </c>
      <c r="X16" s="559" t="e">
        <f t="shared" si="0"/>
        <v>#DIV/0!</v>
      </c>
      <c r="Y16" s="584">
        <f>'12'!E13</f>
        <v>0</v>
      </c>
      <c r="Z16" s="613">
        <f>'12'!F13</f>
        <v>0</v>
      </c>
      <c r="AA16" s="617" t="e">
        <f t="shared" si="1"/>
        <v>#DIV/0!</v>
      </c>
      <c r="AB16" s="615">
        <f>'12'!E14</f>
        <v>0</v>
      </c>
      <c r="AC16" s="616">
        <f>'12'!F14</f>
        <v>0</v>
      </c>
      <c r="AD16" s="581" t="e">
        <f t="shared" si="16"/>
        <v>#DIV/0!</v>
      </c>
      <c r="AE16" s="604">
        <f>'12'!E15</f>
        <v>0</v>
      </c>
      <c r="AF16" s="613">
        <f>'12'!F15</f>
        <v>0</v>
      </c>
      <c r="AG16" s="559" t="e">
        <f t="shared" si="20"/>
        <v>#DIV/0!</v>
      </c>
      <c r="AH16" s="604">
        <f>'12'!E16</f>
        <v>0</v>
      </c>
      <c r="AI16" s="613">
        <f>'12'!F16</f>
        <v>0</v>
      </c>
      <c r="AJ16" s="559" t="e">
        <f t="shared" si="2"/>
        <v>#DIV/0!</v>
      </c>
      <c r="AK16" s="629">
        <f>'12'!E17</f>
        <v>0</v>
      </c>
      <c r="AL16" s="632">
        <f>'12'!E18</f>
        <v>0</v>
      </c>
      <c r="AM16" s="604">
        <f>'12'!E19</f>
        <v>0</v>
      </c>
      <c r="AN16" s="633">
        <f>'12'!F19</f>
        <v>0</v>
      </c>
      <c r="AO16" s="637" t="e">
        <f t="shared" si="3"/>
        <v>#DIV/0!</v>
      </c>
      <c r="AP16" s="633">
        <f>'12'!E20</f>
        <v>0</v>
      </c>
      <c r="AQ16" s="633">
        <f>'12'!F20</f>
        <v>0</v>
      </c>
      <c r="AR16" s="638" t="e">
        <f t="shared" si="4"/>
        <v>#DIV/0!</v>
      </c>
      <c r="AS16" s="636">
        <f>'12'!E21</f>
        <v>0</v>
      </c>
      <c r="AT16" s="633">
        <f>'12'!E22</f>
        <v>0</v>
      </c>
      <c r="AU16" s="633">
        <f>'12'!F22</f>
        <v>0</v>
      </c>
      <c r="AV16" s="649" t="e">
        <f t="shared" si="5"/>
        <v>#DIV/0!</v>
      </c>
      <c r="AW16" s="633">
        <f>'12'!E23</f>
        <v>0</v>
      </c>
      <c r="AX16" s="633">
        <f>'12'!F23</f>
        <v>0</v>
      </c>
      <c r="AY16" s="643" t="e">
        <f t="shared" si="6"/>
        <v>#DIV/0!</v>
      </c>
      <c r="AZ16" s="633">
        <f>'12'!E24</f>
        <v>0</v>
      </c>
      <c r="BA16" s="633">
        <f>'12'!F24</f>
        <v>0</v>
      </c>
      <c r="BB16" s="643" t="e">
        <f t="shared" si="7"/>
        <v>#DIV/0!</v>
      </c>
      <c r="BC16" s="633">
        <f>'12'!E25</f>
        <v>0</v>
      </c>
      <c r="BD16" s="633">
        <f>'12'!F25</f>
        <v>0</v>
      </c>
      <c r="BE16" s="643" t="e">
        <f t="shared" si="8"/>
        <v>#DIV/0!</v>
      </c>
      <c r="BF16" s="633">
        <f>'12'!E26</f>
        <v>0</v>
      </c>
      <c r="BG16" s="633">
        <f>'12'!F26</f>
        <v>0</v>
      </c>
      <c r="BH16" s="643" t="e">
        <f t="shared" si="9"/>
        <v>#DIV/0!</v>
      </c>
      <c r="BI16" s="633">
        <f>'12'!E27</f>
        <v>0</v>
      </c>
      <c r="BJ16" s="633">
        <f>'12'!F27</f>
        <v>0</v>
      </c>
      <c r="BK16" s="643" t="e">
        <f t="shared" si="10"/>
        <v>#DIV/0!</v>
      </c>
      <c r="BL16" s="651">
        <f t="shared" si="11"/>
        <v>340</v>
      </c>
      <c r="BM16" s="652">
        <f t="shared" si="17"/>
        <v>340</v>
      </c>
    </row>
    <row r="17" spans="1:70" ht="23.25">
      <c r="A17" s="553">
        <v>46247</v>
      </c>
      <c r="B17" s="554">
        <f>'13'!C4</f>
        <v>18.25</v>
      </c>
      <c r="C17" s="555">
        <f>'13'!D4</f>
        <v>1</v>
      </c>
      <c r="D17" s="555">
        <f>'13'!E4</f>
        <v>4.75</v>
      </c>
      <c r="E17" s="556">
        <f>'13'!F4</f>
        <v>0</v>
      </c>
      <c r="F17" s="559">
        <f t="shared" si="12"/>
        <v>24</v>
      </c>
      <c r="G17" s="554">
        <f>'13'!E6</f>
        <v>180</v>
      </c>
      <c r="H17" s="558">
        <f>'13'!F6</f>
        <v>21.5</v>
      </c>
      <c r="I17" s="581">
        <f t="shared" si="13"/>
        <v>8.3720930232558146</v>
      </c>
      <c r="J17" s="582">
        <f>'13'!E7</f>
        <v>98</v>
      </c>
      <c r="K17" s="583">
        <f>'13'!F7</f>
        <v>5</v>
      </c>
      <c r="L17" s="581">
        <f t="shared" si="14"/>
        <v>19.600000000000001</v>
      </c>
      <c r="M17" s="584">
        <f>'13'!E8</f>
        <v>143</v>
      </c>
      <c r="N17" s="585">
        <f>'13'!F8</f>
        <v>24</v>
      </c>
      <c r="O17" s="586">
        <f t="shared" si="18"/>
        <v>5.958333333333333</v>
      </c>
      <c r="P17" s="585">
        <f>'13'!E9</f>
        <v>0</v>
      </c>
      <c r="Q17" s="603">
        <f>'13'!F9</f>
        <v>0</v>
      </c>
      <c r="R17" s="581" t="e">
        <f t="shared" si="19"/>
        <v>#DIV/0!</v>
      </c>
      <c r="S17" s="585">
        <f>'13'!E10</f>
        <v>0</v>
      </c>
      <c r="T17" s="603">
        <f>'13'!F10</f>
        <v>0</v>
      </c>
      <c r="U17" s="605" t="e">
        <f t="shared" si="15"/>
        <v>#DIV/0!</v>
      </c>
      <c r="V17" s="604">
        <f>'13'!E12</f>
        <v>0</v>
      </c>
      <c r="W17" s="613">
        <f>'13'!F12</f>
        <v>0</v>
      </c>
      <c r="X17" s="559" t="e">
        <f t="shared" si="0"/>
        <v>#DIV/0!</v>
      </c>
      <c r="Y17" s="584">
        <f>'13'!E13</f>
        <v>0</v>
      </c>
      <c r="Z17" s="613">
        <f>'13'!F13</f>
        <v>0</v>
      </c>
      <c r="AA17" s="617" t="e">
        <f t="shared" si="1"/>
        <v>#DIV/0!</v>
      </c>
      <c r="AB17" s="615">
        <f>'13'!E14</f>
        <v>0</v>
      </c>
      <c r="AC17" s="616">
        <f>'13'!F14</f>
        <v>0</v>
      </c>
      <c r="AD17" s="581" t="e">
        <f t="shared" si="16"/>
        <v>#DIV/0!</v>
      </c>
      <c r="AE17" s="604">
        <f>'13'!E15</f>
        <v>0</v>
      </c>
      <c r="AF17" s="613">
        <f>'13'!F15</f>
        <v>0</v>
      </c>
      <c r="AG17" s="559" t="e">
        <f t="shared" si="20"/>
        <v>#DIV/0!</v>
      </c>
      <c r="AH17" s="604">
        <f>'13'!E16</f>
        <v>0</v>
      </c>
      <c r="AI17" s="613">
        <f>'13'!F16</f>
        <v>0</v>
      </c>
      <c r="AJ17" s="559" t="e">
        <f t="shared" si="2"/>
        <v>#DIV/0!</v>
      </c>
      <c r="AK17" s="629">
        <f>'13'!E17</f>
        <v>0</v>
      </c>
      <c r="AL17" s="632">
        <f>'13'!E18</f>
        <v>0</v>
      </c>
      <c r="AM17" s="604">
        <f>'13'!E19</f>
        <v>0</v>
      </c>
      <c r="AN17" s="633">
        <f>'13'!F19</f>
        <v>0</v>
      </c>
      <c r="AO17" s="637" t="e">
        <f t="shared" si="3"/>
        <v>#DIV/0!</v>
      </c>
      <c r="AP17" s="633">
        <f>'13'!E20</f>
        <v>0</v>
      </c>
      <c r="AQ17" s="633">
        <f>'13'!F20</f>
        <v>0</v>
      </c>
      <c r="AR17" s="638" t="e">
        <f t="shared" si="4"/>
        <v>#DIV/0!</v>
      </c>
      <c r="AS17" s="636">
        <f>'13'!E21</f>
        <v>0</v>
      </c>
      <c r="AT17" s="633">
        <f>'13'!E22</f>
        <v>0</v>
      </c>
      <c r="AU17" s="633">
        <f>'13'!F22</f>
        <v>0</v>
      </c>
      <c r="AV17" s="649" t="e">
        <f t="shared" si="5"/>
        <v>#DIV/0!</v>
      </c>
      <c r="AW17" s="633">
        <f>'13'!E23</f>
        <v>0</v>
      </c>
      <c r="AX17" s="633">
        <f>'13'!F23</f>
        <v>0</v>
      </c>
      <c r="AY17" s="643" t="e">
        <f t="shared" si="6"/>
        <v>#DIV/0!</v>
      </c>
      <c r="AZ17" s="633">
        <f>'13'!E24</f>
        <v>0</v>
      </c>
      <c r="BA17" s="633">
        <f>'13'!F24</f>
        <v>0</v>
      </c>
      <c r="BB17" s="643" t="e">
        <f t="shared" si="7"/>
        <v>#DIV/0!</v>
      </c>
      <c r="BC17" s="633">
        <f>'13'!E25</f>
        <v>0</v>
      </c>
      <c r="BD17" s="633">
        <f>'13'!F25</f>
        <v>0</v>
      </c>
      <c r="BE17" s="643" t="e">
        <f t="shared" si="8"/>
        <v>#DIV/0!</v>
      </c>
      <c r="BF17" s="633">
        <f>'13'!E26</f>
        <v>0</v>
      </c>
      <c r="BG17" s="633">
        <f>'13'!F26</f>
        <v>0</v>
      </c>
      <c r="BH17" s="643" t="e">
        <f t="shared" si="9"/>
        <v>#DIV/0!</v>
      </c>
      <c r="BI17" s="633">
        <f>'13'!E27</f>
        <v>0</v>
      </c>
      <c r="BJ17" s="633">
        <f>'13'!F27</f>
        <v>0</v>
      </c>
      <c r="BK17" s="643" t="e">
        <f t="shared" si="10"/>
        <v>#DIV/0!</v>
      </c>
      <c r="BL17" s="651">
        <f t="shared" si="11"/>
        <v>421</v>
      </c>
      <c r="BM17" s="652">
        <f t="shared" si="17"/>
        <v>421</v>
      </c>
    </row>
    <row r="18" spans="1:70" ht="23.25">
      <c r="A18" s="553">
        <v>46248</v>
      </c>
      <c r="B18" s="554">
        <f>'14'!C4</f>
        <v>10</v>
      </c>
      <c r="C18" s="555">
        <f>'14'!D4</f>
        <v>2</v>
      </c>
      <c r="D18" s="555">
        <f>'14'!E4</f>
        <v>12</v>
      </c>
      <c r="E18" s="556">
        <f>'14'!F4</f>
        <v>0</v>
      </c>
      <c r="F18" s="559">
        <f t="shared" si="12"/>
        <v>24</v>
      </c>
      <c r="G18" s="554">
        <f>'14'!E6</f>
        <v>110</v>
      </c>
      <c r="H18" s="558">
        <f>'14'!F6</f>
        <v>15.4</v>
      </c>
      <c r="I18" s="581">
        <f t="shared" si="13"/>
        <v>7.1428571428571423</v>
      </c>
      <c r="J18" s="582">
        <f>'14'!E7</f>
        <v>0</v>
      </c>
      <c r="K18" s="583">
        <f>'14'!F7</f>
        <v>0</v>
      </c>
      <c r="L18" s="581" t="e">
        <f t="shared" si="14"/>
        <v>#DIV/0!</v>
      </c>
      <c r="M18" s="584">
        <f>'14'!E8</f>
        <v>0</v>
      </c>
      <c r="N18" s="585">
        <f>'14'!F8</f>
        <v>0</v>
      </c>
      <c r="O18" s="586" t="e">
        <f t="shared" si="18"/>
        <v>#DIV/0!</v>
      </c>
      <c r="P18" s="585">
        <f>'14'!E9</f>
        <v>143</v>
      </c>
      <c r="Q18" s="603">
        <f>'14'!F9</f>
        <v>24</v>
      </c>
      <c r="R18" s="581">
        <f t="shared" si="19"/>
        <v>5.958333333333333</v>
      </c>
      <c r="S18" s="585">
        <f>'14'!E10</f>
        <v>0</v>
      </c>
      <c r="T18" s="603">
        <f>'14'!F10</f>
        <v>0</v>
      </c>
      <c r="U18" s="605" t="e">
        <f t="shared" si="15"/>
        <v>#DIV/0!</v>
      </c>
      <c r="V18" s="604">
        <f>'14'!E12</f>
        <v>0</v>
      </c>
      <c r="W18" s="613">
        <f>'14'!F12</f>
        <v>0</v>
      </c>
      <c r="X18" s="559" t="e">
        <f t="shared" si="0"/>
        <v>#DIV/0!</v>
      </c>
      <c r="Y18" s="584">
        <f>'14'!E13</f>
        <v>0</v>
      </c>
      <c r="Z18" s="613">
        <f>'14'!F13</f>
        <v>0</v>
      </c>
      <c r="AA18" s="617" t="e">
        <f t="shared" si="1"/>
        <v>#DIV/0!</v>
      </c>
      <c r="AB18" s="615">
        <f>'14'!E1</f>
        <v>0</v>
      </c>
      <c r="AC18" s="616">
        <f>'14'!F14</f>
        <v>0</v>
      </c>
      <c r="AD18" s="581" t="e">
        <f t="shared" si="16"/>
        <v>#DIV/0!</v>
      </c>
      <c r="AE18" s="604">
        <f>'14'!E15</f>
        <v>0</v>
      </c>
      <c r="AF18" s="613">
        <f>'14'!F15</f>
        <v>0</v>
      </c>
      <c r="AG18" s="559" t="e">
        <f t="shared" si="20"/>
        <v>#DIV/0!</v>
      </c>
      <c r="AH18" s="604">
        <f>'14'!E16</f>
        <v>0</v>
      </c>
      <c r="AI18" s="613">
        <f>'14'!F16</f>
        <v>0</v>
      </c>
      <c r="AJ18" s="559" t="e">
        <f t="shared" si="2"/>
        <v>#DIV/0!</v>
      </c>
      <c r="AK18" s="629">
        <f>'14'!E17</f>
        <v>0</v>
      </c>
      <c r="AL18" s="632">
        <f>'14'!E18</f>
        <v>0</v>
      </c>
      <c r="AM18" s="604">
        <f>'14'!E19</f>
        <v>0</v>
      </c>
      <c r="AN18" s="633">
        <f>'14'!F19</f>
        <v>0</v>
      </c>
      <c r="AO18" s="637" t="e">
        <f t="shared" si="3"/>
        <v>#DIV/0!</v>
      </c>
      <c r="AP18" s="633">
        <f>'14'!E20</f>
        <v>0</v>
      </c>
      <c r="AQ18" s="633">
        <f>'14'!F20</f>
        <v>0</v>
      </c>
      <c r="AR18" s="638" t="e">
        <f t="shared" si="4"/>
        <v>#DIV/0!</v>
      </c>
      <c r="AS18" s="636">
        <f>'14'!E21</f>
        <v>0</v>
      </c>
      <c r="AT18" s="633">
        <f>'14'!E22</f>
        <v>0</v>
      </c>
      <c r="AU18" s="633">
        <f>'14'!F22</f>
        <v>0</v>
      </c>
      <c r="AV18" s="649" t="e">
        <f t="shared" si="5"/>
        <v>#DIV/0!</v>
      </c>
      <c r="AW18" s="633">
        <f>'14'!E23</f>
        <v>0</v>
      </c>
      <c r="AX18" s="633">
        <f>'14'!F23</f>
        <v>0</v>
      </c>
      <c r="AY18" s="643" t="e">
        <f t="shared" si="6"/>
        <v>#DIV/0!</v>
      </c>
      <c r="AZ18" s="633">
        <f>'14'!E24</f>
        <v>0</v>
      </c>
      <c r="BA18" s="633">
        <f>'14'!F24</f>
        <v>0</v>
      </c>
      <c r="BB18" s="643" t="e">
        <f t="shared" si="7"/>
        <v>#DIV/0!</v>
      </c>
      <c r="BC18" s="633">
        <f>'14'!E25</f>
        <v>0</v>
      </c>
      <c r="BD18" s="633">
        <f>'14'!F25</f>
        <v>0</v>
      </c>
      <c r="BE18" s="643" t="e">
        <f t="shared" si="8"/>
        <v>#DIV/0!</v>
      </c>
      <c r="BF18" s="633">
        <f>'14'!E26</f>
        <v>0</v>
      </c>
      <c r="BG18" s="633">
        <f>'14'!F26</f>
        <v>0</v>
      </c>
      <c r="BH18" s="643" t="e">
        <f t="shared" si="9"/>
        <v>#DIV/0!</v>
      </c>
      <c r="BI18" s="633">
        <f>'14'!E27</f>
        <v>0</v>
      </c>
      <c r="BJ18" s="633">
        <f>'14'!F27</f>
        <v>0</v>
      </c>
      <c r="BK18" s="643" t="e">
        <f t="shared" si="10"/>
        <v>#DIV/0!</v>
      </c>
      <c r="BL18" s="651">
        <f t="shared" si="11"/>
        <v>253</v>
      </c>
      <c r="BM18" s="652">
        <f t="shared" si="17"/>
        <v>253</v>
      </c>
    </row>
    <row r="19" spans="1:70" ht="23.25">
      <c r="A19" s="553">
        <v>46249</v>
      </c>
      <c r="B19" s="554">
        <f>'15'!C4</f>
        <v>12.5</v>
      </c>
      <c r="C19" s="555">
        <f>'15'!D4</f>
        <v>7.5</v>
      </c>
      <c r="D19" s="555">
        <f>'15'!E4</f>
        <v>4</v>
      </c>
      <c r="E19" s="556">
        <f>'15'!F4</f>
        <v>0</v>
      </c>
      <c r="F19" s="560">
        <f t="shared" si="12"/>
        <v>24</v>
      </c>
      <c r="G19" s="554">
        <f>'15'!E6</f>
        <v>130</v>
      </c>
      <c r="H19" s="561">
        <f>'15'!F6</f>
        <v>15.5</v>
      </c>
      <c r="I19" s="581">
        <f t="shared" si="13"/>
        <v>8.387096774193548</v>
      </c>
      <c r="J19" s="587">
        <f>'15'!E7</f>
        <v>25</v>
      </c>
      <c r="K19" s="588">
        <f>'15'!F7</f>
        <v>1.5</v>
      </c>
      <c r="L19" s="581">
        <f t="shared" si="14"/>
        <v>16.666666666666668</v>
      </c>
      <c r="M19" s="589">
        <f>'15'!E8</f>
        <v>147</v>
      </c>
      <c r="N19" s="590">
        <f>'15'!F8</f>
        <v>24</v>
      </c>
      <c r="O19" s="591">
        <f t="shared" si="18"/>
        <v>6.125</v>
      </c>
      <c r="P19" s="590">
        <f>'15'!E9</f>
        <v>0</v>
      </c>
      <c r="Q19" s="606">
        <f>'15'!F9</f>
        <v>0</v>
      </c>
      <c r="R19" s="607" t="e">
        <f t="shared" si="19"/>
        <v>#DIV/0!</v>
      </c>
      <c r="S19" s="590">
        <f>'15'!E10</f>
        <v>0</v>
      </c>
      <c r="T19" s="606">
        <f>'15'!F10</f>
        <v>0</v>
      </c>
      <c r="U19" s="605" t="e">
        <f t="shared" si="15"/>
        <v>#DIV/0!</v>
      </c>
      <c r="V19" s="608">
        <f>'15'!E12</f>
        <v>0</v>
      </c>
      <c r="W19" s="618">
        <f>'15'!F12</f>
        <v>0</v>
      </c>
      <c r="X19" s="560" t="e">
        <f t="shared" si="0"/>
        <v>#DIV/0!</v>
      </c>
      <c r="Y19" s="589">
        <f>'15'!E13</f>
        <v>6</v>
      </c>
      <c r="Z19" s="618">
        <f>'15'!F13</f>
        <v>2</v>
      </c>
      <c r="AA19" s="619">
        <f t="shared" si="1"/>
        <v>3</v>
      </c>
      <c r="AB19" s="615">
        <f>'15'!E14</f>
        <v>0</v>
      </c>
      <c r="AC19" s="616">
        <f>'15'!F14</f>
        <v>0</v>
      </c>
      <c r="AD19" s="581" t="e">
        <f t="shared" si="16"/>
        <v>#DIV/0!</v>
      </c>
      <c r="AE19" s="608">
        <f>'15'!E15</f>
        <v>0</v>
      </c>
      <c r="AF19" s="618">
        <f>'15'!F15</f>
        <v>0</v>
      </c>
      <c r="AG19" s="560" t="e">
        <f t="shared" si="20"/>
        <v>#DIV/0!</v>
      </c>
      <c r="AH19" s="608">
        <f>'15'!E16</f>
        <v>0</v>
      </c>
      <c r="AI19" s="618">
        <f>'15'!F16</f>
        <v>0</v>
      </c>
      <c r="AJ19" s="560" t="e">
        <f t="shared" si="2"/>
        <v>#DIV/0!</v>
      </c>
      <c r="AK19" s="629">
        <f>'15'!E17</f>
        <v>0</v>
      </c>
      <c r="AL19" s="632">
        <f>'15'!E18</f>
        <v>0</v>
      </c>
      <c r="AM19" s="608">
        <f>'15'!E19</f>
        <v>0</v>
      </c>
      <c r="AN19" s="639">
        <f>'15'!F19</f>
        <v>0</v>
      </c>
      <c r="AO19" s="640" t="e">
        <f t="shared" si="3"/>
        <v>#DIV/0!</v>
      </c>
      <c r="AP19" s="639">
        <f>'15'!E20</f>
        <v>0</v>
      </c>
      <c r="AQ19" s="639">
        <f>'15'!F20</f>
        <v>0</v>
      </c>
      <c r="AR19" s="641" t="e">
        <f t="shared" si="4"/>
        <v>#DIV/0!</v>
      </c>
      <c r="AS19" s="642">
        <f>'15'!E21</f>
        <v>0</v>
      </c>
      <c r="AT19" s="639">
        <f>'15'!E22</f>
        <v>0</v>
      </c>
      <c r="AU19" s="639">
        <f>'15'!F22</f>
        <v>0</v>
      </c>
      <c r="AV19" s="650" t="e">
        <f t="shared" si="5"/>
        <v>#DIV/0!</v>
      </c>
      <c r="AW19" s="639">
        <f>'15'!E23</f>
        <v>0</v>
      </c>
      <c r="AX19" s="639">
        <f>'15'!F23</f>
        <v>0</v>
      </c>
      <c r="AY19" s="643" t="e">
        <f t="shared" si="6"/>
        <v>#DIV/0!</v>
      </c>
      <c r="AZ19" s="639">
        <f>'15'!E24</f>
        <v>0</v>
      </c>
      <c r="BA19" s="639">
        <f>'15'!F24</f>
        <v>0</v>
      </c>
      <c r="BB19" s="643" t="e">
        <f t="shared" si="7"/>
        <v>#DIV/0!</v>
      </c>
      <c r="BC19" s="639">
        <f>'15'!E25</f>
        <v>0</v>
      </c>
      <c r="BD19" s="639">
        <f>'15'!F25</f>
        <v>0</v>
      </c>
      <c r="BE19" s="643" t="e">
        <f t="shared" si="8"/>
        <v>#DIV/0!</v>
      </c>
      <c r="BF19" s="639">
        <f>'15'!E26</f>
        <v>0</v>
      </c>
      <c r="BG19" s="639">
        <f>'15'!F26</f>
        <v>0</v>
      </c>
      <c r="BH19" s="643" t="e">
        <f t="shared" si="9"/>
        <v>#DIV/0!</v>
      </c>
      <c r="BI19" s="639">
        <f>'15'!E27</f>
        <v>0</v>
      </c>
      <c r="BJ19" s="639">
        <f>'15'!F27</f>
        <v>0</v>
      </c>
      <c r="BK19" s="643" t="e">
        <f t="shared" si="10"/>
        <v>#DIV/0!</v>
      </c>
      <c r="BL19" s="651">
        <f t="shared" si="11"/>
        <v>308</v>
      </c>
      <c r="BM19" s="652">
        <f t="shared" si="17"/>
        <v>308</v>
      </c>
    </row>
    <row r="20" spans="1:70" ht="37.5" customHeight="1">
      <c r="A20" s="562" t="s">
        <v>25</v>
      </c>
      <c r="B20" s="563">
        <f>SUM(B5:B19)</f>
        <v>193</v>
      </c>
      <c r="C20" s="564">
        <f t="shared" ref="C20:AS20" si="21">SUM(C5:C19)</f>
        <v>53</v>
      </c>
      <c r="D20" s="564">
        <f t="shared" si="21"/>
        <v>107</v>
      </c>
      <c r="E20" s="565">
        <f t="shared" si="21"/>
        <v>0</v>
      </c>
      <c r="F20" s="566">
        <f t="shared" si="21"/>
        <v>353</v>
      </c>
      <c r="G20" s="567">
        <f t="shared" si="21"/>
        <v>1700</v>
      </c>
      <c r="H20" s="568">
        <f t="shared" si="21"/>
        <v>230.60000000000002</v>
      </c>
      <c r="I20" s="574">
        <f t="shared" si="13"/>
        <v>7.3720728534258448</v>
      </c>
      <c r="J20" s="592">
        <f t="shared" si="21"/>
        <v>1103</v>
      </c>
      <c r="K20" s="593">
        <f t="shared" si="21"/>
        <v>62.5</v>
      </c>
      <c r="L20" s="574">
        <f t="shared" si="14"/>
        <v>17.648</v>
      </c>
      <c r="M20" s="563">
        <f t="shared" si="21"/>
        <v>966</v>
      </c>
      <c r="N20" s="565">
        <f t="shared" si="21"/>
        <v>156</v>
      </c>
      <c r="O20" s="574">
        <f>M20/N20</f>
        <v>6.1923076923076925</v>
      </c>
      <c r="P20" s="563">
        <f t="shared" si="21"/>
        <v>1249</v>
      </c>
      <c r="Q20" s="565">
        <f t="shared" si="21"/>
        <v>204</v>
      </c>
      <c r="R20" s="574">
        <f>P20/Q20</f>
        <v>6.1225490196078427</v>
      </c>
      <c r="S20" s="563">
        <f t="shared" si="21"/>
        <v>0</v>
      </c>
      <c r="T20" s="565">
        <f t="shared" si="21"/>
        <v>0</v>
      </c>
      <c r="U20" s="574" t="e">
        <f>S20/T20</f>
        <v>#DIV/0!</v>
      </c>
      <c r="V20" s="563">
        <f t="shared" si="21"/>
        <v>0</v>
      </c>
      <c r="W20" s="565">
        <f t="shared" si="21"/>
        <v>0</v>
      </c>
      <c r="X20" s="574" t="e">
        <f t="shared" si="0"/>
        <v>#DIV/0!</v>
      </c>
      <c r="Y20" s="563">
        <f>SUM(Y5:Y19)</f>
        <v>15</v>
      </c>
      <c r="Z20" s="565">
        <f>SUM(Z5:Z19)</f>
        <v>5</v>
      </c>
      <c r="AA20" s="574">
        <f t="shared" si="1"/>
        <v>3</v>
      </c>
      <c r="AB20" s="564">
        <f>AB5+AB6+AB7+AB8+AB9+AB10+AB11+AB12+AB13+AB14+AB15+AB16+AB17+AB18+AB19</f>
        <v>0</v>
      </c>
      <c r="AC20" s="564">
        <f>AC5+AC6+AC7+AC8+AC9+AC10+AC11+AC12+AC13+AC14+AC15+AC16+AC17+AC18+AC19</f>
        <v>0</v>
      </c>
      <c r="AD20" s="574" t="e">
        <f t="shared" si="16"/>
        <v>#DIV/0!</v>
      </c>
      <c r="AE20" s="563">
        <f>SUM(AE5:AE19)</f>
        <v>0</v>
      </c>
      <c r="AF20" s="565">
        <f>SUM(AF5:AF19)</f>
        <v>0</v>
      </c>
      <c r="AG20" s="574" t="e">
        <f t="shared" si="20"/>
        <v>#DIV/0!</v>
      </c>
      <c r="AH20" s="563">
        <f>SUM(AH5:AH19)</f>
        <v>0</v>
      </c>
      <c r="AI20" s="565">
        <f>SUM(AI5:AI19)</f>
        <v>0</v>
      </c>
      <c r="AJ20" s="574" t="e">
        <f t="shared" si="2"/>
        <v>#DIV/0!</v>
      </c>
      <c r="AK20" s="567">
        <f>SUM(AK5:AK19)</f>
        <v>10</v>
      </c>
      <c r="AL20" s="567">
        <f>SUM(AL5:AL19)</f>
        <v>0</v>
      </c>
      <c r="AM20" s="563">
        <f t="shared" si="21"/>
        <v>0</v>
      </c>
      <c r="AN20" s="565">
        <f t="shared" si="21"/>
        <v>0</v>
      </c>
      <c r="AO20" s="574" t="e">
        <f t="shared" si="3"/>
        <v>#DIV/0!</v>
      </c>
      <c r="AP20" s="574"/>
      <c r="AQ20" s="565">
        <f t="shared" ref="AQ20" si="22">SUM(AQ5:AQ19)</f>
        <v>0</v>
      </c>
      <c r="AR20" s="568" t="e">
        <f t="shared" si="4"/>
        <v>#DIV/0!</v>
      </c>
      <c r="AS20" s="574">
        <f t="shared" si="21"/>
        <v>0</v>
      </c>
      <c r="AT20" s="563">
        <f t="shared" ref="AT20:AX20" si="23">SUM(AT5:AT19)</f>
        <v>0</v>
      </c>
      <c r="AU20" s="564">
        <f t="shared" si="23"/>
        <v>0</v>
      </c>
      <c r="AV20" s="574" t="e">
        <f t="shared" si="5"/>
        <v>#DIV/0!</v>
      </c>
      <c r="AW20" s="564">
        <f t="shared" si="23"/>
        <v>0</v>
      </c>
      <c r="AX20" s="564">
        <f t="shared" si="23"/>
        <v>0</v>
      </c>
      <c r="AY20" s="574" t="e">
        <f t="shared" si="6"/>
        <v>#DIV/0!</v>
      </c>
      <c r="AZ20" s="564">
        <f t="shared" ref="AZ20:BA20" si="24">SUM(AZ5:AZ19)</f>
        <v>0</v>
      </c>
      <c r="BA20" s="564">
        <f t="shared" si="24"/>
        <v>0</v>
      </c>
      <c r="BB20" s="574" t="e">
        <f t="shared" si="7"/>
        <v>#DIV/0!</v>
      </c>
      <c r="BC20" s="564">
        <f t="shared" ref="BC20:BD20" si="25">SUM(BC5:BC19)</f>
        <v>0</v>
      </c>
      <c r="BD20" s="564">
        <f t="shared" si="25"/>
        <v>0</v>
      </c>
      <c r="BE20" s="574" t="e">
        <f t="shared" si="8"/>
        <v>#DIV/0!</v>
      </c>
      <c r="BF20" s="564">
        <f t="shared" ref="BF20:BG20" si="26">SUM(BF5:BF19)</f>
        <v>0</v>
      </c>
      <c r="BG20" s="564">
        <f t="shared" si="26"/>
        <v>0</v>
      </c>
      <c r="BH20" s="574" t="e">
        <f t="shared" si="9"/>
        <v>#DIV/0!</v>
      </c>
      <c r="BI20" s="564">
        <f t="shared" ref="BI20:BJ20" si="27">SUM(BI5:BI19)</f>
        <v>0</v>
      </c>
      <c r="BJ20" s="564">
        <f t="shared" si="27"/>
        <v>0</v>
      </c>
      <c r="BK20" s="574" t="e">
        <f t="shared" si="10"/>
        <v>#DIV/0!</v>
      </c>
      <c r="BL20" s="653">
        <f>BL5+BL6+BL7+BL8+BL9+BL10+BL11+BL12+BL13+BL14+BL15+BL16+BL17+BL18+BL19</f>
        <v>5033</v>
      </c>
      <c r="BM20" s="653">
        <f>BM5+BM6+BM7+BM8+BM9+BM10+BM11+BM12+BM13+BM14+BM15+BM16+BM17+BM18+BM19</f>
        <v>5043</v>
      </c>
    </row>
    <row r="21" spans="1:70" ht="23.25">
      <c r="A21" s="553">
        <v>46250</v>
      </c>
      <c r="B21" s="554">
        <f>'16'!C4</f>
        <v>23</v>
      </c>
      <c r="C21" s="555">
        <f>'16'!D4</f>
        <v>1</v>
      </c>
      <c r="D21" s="555">
        <f>'16'!E4</f>
        <v>0</v>
      </c>
      <c r="E21" s="556">
        <f>'16'!F4</f>
        <v>0</v>
      </c>
      <c r="F21" s="569">
        <f t="shared" ref="F21:F36" si="28">SUM(B21:E21)</f>
        <v>24</v>
      </c>
      <c r="G21" s="554">
        <f>'16'!E6</f>
        <v>202</v>
      </c>
      <c r="H21" s="558">
        <f>'16'!F6</f>
        <v>23.5</v>
      </c>
      <c r="I21" s="581">
        <f t="shared" si="13"/>
        <v>8.5957446808510642</v>
      </c>
      <c r="J21" s="594">
        <f>'16'!E7</f>
        <v>33</v>
      </c>
      <c r="K21" s="595">
        <f>'16'!F7</f>
        <v>2</v>
      </c>
      <c r="L21" s="581">
        <f t="shared" si="14"/>
        <v>16.5</v>
      </c>
      <c r="M21" s="596">
        <f>'16'!E8</f>
        <v>145</v>
      </c>
      <c r="N21" s="597">
        <f>'16'!F8</f>
        <v>24</v>
      </c>
      <c r="O21" s="598">
        <f t="shared" ref="O21:O38" si="29">M21/N21</f>
        <v>6.041666666666667</v>
      </c>
      <c r="P21" s="597">
        <f>'16'!E9</f>
        <v>0</v>
      </c>
      <c r="Q21" s="609">
        <f>'16'!F9</f>
        <v>0</v>
      </c>
      <c r="R21" s="610" t="e">
        <f t="shared" si="19"/>
        <v>#DIV/0!</v>
      </c>
      <c r="S21" s="597">
        <f>'16'!E10</f>
        <v>0</v>
      </c>
      <c r="T21" s="609">
        <f>'16'!F10</f>
        <v>0</v>
      </c>
      <c r="U21" s="605" t="e">
        <f t="shared" si="15"/>
        <v>#DIV/0!</v>
      </c>
      <c r="V21" s="596">
        <f>'16'!E12</f>
        <v>0</v>
      </c>
      <c r="W21" s="620">
        <f>'16'!F12</f>
        <v>0</v>
      </c>
      <c r="X21" s="557" t="e">
        <f t="shared" si="0"/>
        <v>#DIV/0!</v>
      </c>
      <c r="Y21" s="621">
        <f>'16'!E13</f>
        <v>0</v>
      </c>
      <c r="Z21" s="620">
        <f>'16'!F13</f>
        <v>0</v>
      </c>
      <c r="AA21" s="622" t="e">
        <f t="shared" si="1"/>
        <v>#DIV/0!</v>
      </c>
      <c r="AB21" s="615">
        <f>'16'!E14</f>
        <v>0</v>
      </c>
      <c r="AC21" s="616">
        <f>'16'!F14</f>
        <v>0</v>
      </c>
      <c r="AD21" s="581" t="e">
        <f t="shared" si="16"/>
        <v>#DIV/0!</v>
      </c>
      <c r="AE21" s="621">
        <f>'16'!E15</f>
        <v>0</v>
      </c>
      <c r="AF21" s="620">
        <f>'16'!F15</f>
        <v>0</v>
      </c>
      <c r="AG21" s="557" t="e">
        <f t="shared" si="20"/>
        <v>#DIV/0!</v>
      </c>
      <c r="AH21" s="621">
        <f>'16'!E16</f>
        <v>0</v>
      </c>
      <c r="AI21" s="620">
        <f>'16'!F16</f>
        <v>0</v>
      </c>
      <c r="AJ21" s="557" t="e">
        <f t="shared" si="2"/>
        <v>#DIV/0!</v>
      </c>
      <c r="AK21" s="629">
        <f>'16'!E17</f>
        <v>0</v>
      </c>
      <c r="AL21" s="632">
        <f>'16'!E18</f>
        <v>0</v>
      </c>
      <c r="AM21" s="621">
        <f>'16'!E19</f>
        <v>0</v>
      </c>
      <c r="AN21" s="620">
        <f>'16'!F19</f>
        <v>0</v>
      </c>
      <c r="AO21" s="643" t="e">
        <f t="shared" si="3"/>
        <v>#DIV/0!</v>
      </c>
      <c r="AP21" s="644">
        <f>'16'!E20</f>
        <v>0</v>
      </c>
      <c r="AQ21" s="644">
        <f>'16'!F20</f>
        <v>0</v>
      </c>
      <c r="AR21" s="635" t="e">
        <f t="shared" ref="AR21:AR38" si="30">AP21/AQ21</f>
        <v>#DIV/0!</v>
      </c>
      <c r="AS21" s="645">
        <f>'16'!E21</f>
        <v>0</v>
      </c>
      <c r="AT21" s="644">
        <f>'16'!E22</f>
        <v>0</v>
      </c>
      <c r="AU21" s="644">
        <f>'16'!F22</f>
        <v>0</v>
      </c>
      <c r="AV21" s="650" t="e">
        <f t="shared" si="5"/>
        <v>#DIV/0!</v>
      </c>
      <c r="AW21" s="644">
        <f>'16'!E23</f>
        <v>0</v>
      </c>
      <c r="AX21" s="644">
        <f>'16'!F23</f>
        <v>0</v>
      </c>
      <c r="AY21" s="643" t="e">
        <f t="shared" si="6"/>
        <v>#DIV/0!</v>
      </c>
      <c r="AZ21" s="644">
        <f>'16'!E24</f>
        <v>0</v>
      </c>
      <c r="BA21" s="644">
        <f>'16'!F24</f>
        <v>0</v>
      </c>
      <c r="BB21" s="643" t="e">
        <f t="shared" ref="BB21:BB37" si="31">AZ21/BA21</f>
        <v>#DIV/0!</v>
      </c>
      <c r="BC21" s="644">
        <f>'16'!E25</f>
        <v>0</v>
      </c>
      <c r="BD21" s="644">
        <f>'16'!F25</f>
        <v>0</v>
      </c>
      <c r="BE21" s="643" t="e">
        <f t="shared" ref="BE21:BE37" si="32">BC21/BD21</f>
        <v>#DIV/0!</v>
      </c>
      <c r="BF21" s="644">
        <f>'16'!E26</f>
        <v>0</v>
      </c>
      <c r="BG21" s="644">
        <f>'16'!F26</f>
        <v>0</v>
      </c>
      <c r="BH21" s="643" t="e">
        <f t="shared" ref="BH21:BH37" si="33">BF21/BG21</f>
        <v>#DIV/0!</v>
      </c>
      <c r="BI21" s="644">
        <f>'16'!E27</f>
        <v>0</v>
      </c>
      <c r="BJ21" s="644">
        <f>'16'!F27</f>
        <v>0</v>
      </c>
      <c r="BK21" s="643" t="e">
        <f t="shared" ref="BK21:BK37" si="34">BI21/BJ21</f>
        <v>#DIV/0!</v>
      </c>
      <c r="BL21" s="651">
        <f t="shared" ref="BL21:BL34" si="35">G21+J21+M21+P21+S21+V21+Y21</f>
        <v>380</v>
      </c>
      <c r="BM21" s="652">
        <f t="shared" si="17"/>
        <v>380</v>
      </c>
    </row>
    <row r="22" spans="1:70" ht="23.25">
      <c r="A22" s="553">
        <v>46251</v>
      </c>
      <c r="B22" s="554">
        <f>'17'!C4</f>
        <v>23</v>
      </c>
      <c r="C22" s="555">
        <f>'17'!D4</f>
        <v>1</v>
      </c>
      <c r="D22" s="555">
        <f>'17'!E4</f>
        <v>0</v>
      </c>
      <c r="E22" s="556">
        <f>'17'!F4</f>
        <v>0</v>
      </c>
      <c r="F22" s="559">
        <f t="shared" si="28"/>
        <v>24</v>
      </c>
      <c r="G22" s="554">
        <f>'17'!E6</f>
        <v>225</v>
      </c>
      <c r="H22" s="558">
        <f>'17'!F6</f>
        <v>24</v>
      </c>
      <c r="I22" s="581">
        <f t="shared" si="13"/>
        <v>9.375</v>
      </c>
      <c r="J22" s="582">
        <f>'17'!E7</f>
        <v>40</v>
      </c>
      <c r="K22" s="583">
        <f>'17'!F7</f>
        <v>2.5</v>
      </c>
      <c r="L22" s="581">
        <f t="shared" si="14"/>
        <v>16</v>
      </c>
      <c r="M22" s="584">
        <f>'17'!E8</f>
        <v>150</v>
      </c>
      <c r="N22" s="585">
        <f>'17'!F8</f>
        <v>20</v>
      </c>
      <c r="O22" s="599">
        <f t="shared" si="29"/>
        <v>7.5</v>
      </c>
      <c r="P22" s="585">
        <f>'17'!E9</f>
        <v>28</v>
      </c>
      <c r="Q22" s="603">
        <f>'17'!F9</f>
        <v>4</v>
      </c>
      <c r="R22" s="581">
        <f t="shared" si="19"/>
        <v>7</v>
      </c>
      <c r="S22" s="585">
        <f>'17'!E10</f>
        <v>0</v>
      </c>
      <c r="T22" s="603">
        <f>'17'!F10</f>
        <v>0</v>
      </c>
      <c r="U22" s="605" t="e">
        <f t="shared" si="15"/>
        <v>#DIV/0!</v>
      </c>
      <c r="V22" s="584">
        <f>'17'!E12</f>
        <v>0</v>
      </c>
      <c r="W22" s="613">
        <f>'17'!F12</f>
        <v>0</v>
      </c>
      <c r="X22" s="569" t="e">
        <f t="shared" si="0"/>
        <v>#DIV/0!</v>
      </c>
      <c r="Y22" s="604">
        <f>'17'!E13</f>
        <v>6</v>
      </c>
      <c r="Z22" s="613">
        <f>'17'!F13</f>
        <v>2</v>
      </c>
      <c r="AA22" s="622">
        <f t="shared" si="1"/>
        <v>3</v>
      </c>
      <c r="AB22" s="615">
        <f>'17'!E14</f>
        <v>0</v>
      </c>
      <c r="AC22" s="616">
        <f>'17'!F14</f>
        <v>0</v>
      </c>
      <c r="AD22" s="581" t="e">
        <f t="shared" si="16"/>
        <v>#DIV/0!</v>
      </c>
      <c r="AE22" s="604">
        <f>'17'!E15</f>
        <v>0</v>
      </c>
      <c r="AF22" s="613">
        <f>'17'!F15</f>
        <v>0</v>
      </c>
      <c r="AG22" s="569" t="e">
        <f t="shared" si="20"/>
        <v>#DIV/0!</v>
      </c>
      <c r="AH22" s="604">
        <f>'17'!E16</f>
        <v>0</v>
      </c>
      <c r="AI22" s="613">
        <f>'17'!F16</f>
        <v>0</v>
      </c>
      <c r="AJ22" s="569" t="e">
        <f t="shared" si="2"/>
        <v>#DIV/0!</v>
      </c>
      <c r="AK22" s="629">
        <f>'17'!E17</f>
        <v>0</v>
      </c>
      <c r="AL22" s="632">
        <f>'17'!E18</f>
        <v>0</v>
      </c>
      <c r="AM22" s="604">
        <f>'17'!E19</f>
        <v>0</v>
      </c>
      <c r="AN22" s="613">
        <f>'17'!F19</f>
        <v>0</v>
      </c>
      <c r="AO22" s="646" t="e">
        <f t="shared" si="3"/>
        <v>#DIV/0!</v>
      </c>
      <c r="AP22" s="633">
        <f>'17'!E20</f>
        <v>0</v>
      </c>
      <c r="AQ22" s="633">
        <f>'17'!F20</f>
        <v>0</v>
      </c>
      <c r="AR22" s="638" t="e">
        <f t="shared" si="30"/>
        <v>#DIV/0!</v>
      </c>
      <c r="AS22" s="636">
        <f>'17'!E21</f>
        <v>0</v>
      </c>
      <c r="AT22" s="633">
        <f>'17'!E22</f>
        <v>0</v>
      </c>
      <c r="AU22" s="633">
        <f>'17'!F22</f>
        <v>0</v>
      </c>
      <c r="AV22" s="650" t="e">
        <f t="shared" si="5"/>
        <v>#DIV/0!</v>
      </c>
      <c r="AW22" s="633">
        <f>'17'!E23</f>
        <v>0</v>
      </c>
      <c r="AX22" s="633">
        <f>'17'!F23</f>
        <v>0</v>
      </c>
      <c r="AY22" s="643" t="e">
        <f t="shared" si="6"/>
        <v>#DIV/0!</v>
      </c>
      <c r="AZ22" s="633">
        <f>'17'!E24</f>
        <v>0</v>
      </c>
      <c r="BA22" s="633">
        <f>'17'!F24</f>
        <v>0</v>
      </c>
      <c r="BB22" s="643" t="e">
        <f t="shared" si="31"/>
        <v>#DIV/0!</v>
      </c>
      <c r="BC22" s="633">
        <f>'17'!E25</f>
        <v>0</v>
      </c>
      <c r="BD22" s="633">
        <f>'17'!F25</f>
        <v>0</v>
      </c>
      <c r="BE22" s="643" t="e">
        <f t="shared" si="32"/>
        <v>#DIV/0!</v>
      </c>
      <c r="BF22" s="633">
        <f>'17'!E26</f>
        <v>0</v>
      </c>
      <c r="BG22" s="633">
        <f>'17'!F26</f>
        <v>0</v>
      </c>
      <c r="BH22" s="643" t="e">
        <f t="shared" si="33"/>
        <v>#DIV/0!</v>
      </c>
      <c r="BI22" s="633">
        <f>'17'!E27</f>
        <v>0</v>
      </c>
      <c r="BJ22" s="633">
        <f>'17'!F27</f>
        <v>0</v>
      </c>
      <c r="BK22" s="643" t="e">
        <f t="shared" si="34"/>
        <v>#DIV/0!</v>
      </c>
      <c r="BL22" s="651">
        <f t="shared" si="35"/>
        <v>449</v>
      </c>
      <c r="BM22" s="652">
        <f t="shared" si="17"/>
        <v>449</v>
      </c>
    </row>
    <row r="23" spans="1:70" ht="23.25">
      <c r="A23" s="553">
        <v>46252</v>
      </c>
      <c r="B23" s="554">
        <f>'18'!C4</f>
        <v>23</v>
      </c>
      <c r="C23" s="555">
        <f>'18'!D4</f>
        <v>1</v>
      </c>
      <c r="D23" s="555">
        <f>'18'!E4</f>
        <v>0</v>
      </c>
      <c r="E23" s="556">
        <f>'18'!F4</f>
        <v>0</v>
      </c>
      <c r="F23" s="559">
        <f t="shared" si="28"/>
        <v>24</v>
      </c>
      <c r="G23" s="554">
        <f>'18'!E6</f>
        <v>200</v>
      </c>
      <c r="H23" s="558">
        <f>'18'!F6</f>
        <v>23.5</v>
      </c>
      <c r="I23" s="581">
        <f t="shared" si="13"/>
        <v>8.5106382978723403</v>
      </c>
      <c r="J23" s="582">
        <f>'18'!E7</f>
        <v>17</v>
      </c>
      <c r="K23" s="583">
        <f>'18'!F7</f>
        <v>1</v>
      </c>
      <c r="L23" s="581">
        <f t="shared" si="14"/>
        <v>17</v>
      </c>
      <c r="M23" s="584">
        <f>'18'!E8</f>
        <v>83</v>
      </c>
      <c r="N23" s="585">
        <f>'18'!F8</f>
        <v>12</v>
      </c>
      <c r="O23" s="599">
        <f t="shared" si="29"/>
        <v>6.916666666666667</v>
      </c>
      <c r="P23" s="585">
        <f>'18'!E9</f>
        <v>75</v>
      </c>
      <c r="Q23" s="603">
        <f>'18'!F9</f>
        <v>12</v>
      </c>
      <c r="R23" s="581">
        <f t="shared" si="19"/>
        <v>6.25</v>
      </c>
      <c r="S23" s="585">
        <f>'18'!E10</f>
        <v>0</v>
      </c>
      <c r="T23" s="603">
        <f>'18'!F10</f>
        <v>0</v>
      </c>
      <c r="U23" s="605" t="e">
        <f t="shared" si="15"/>
        <v>#DIV/0!</v>
      </c>
      <c r="V23" s="584">
        <f>'18'!E12</f>
        <v>0</v>
      </c>
      <c r="W23" s="613">
        <f>'18'!F12</f>
        <v>0</v>
      </c>
      <c r="X23" s="569" t="e">
        <f t="shared" si="0"/>
        <v>#DIV/0!</v>
      </c>
      <c r="Y23" s="604">
        <f>'18'!E13</f>
        <v>0</v>
      </c>
      <c r="Z23" s="613">
        <f>'18'!F13</f>
        <v>0</v>
      </c>
      <c r="AA23" s="622" t="e">
        <f t="shared" si="1"/>
        <v>#DIV/0!</v>
      </c>
      <c r="AB23" s="615">
        <f>'18'!E14</f>
        <v>0</v>
      </c>
      <c r="AC23" s="616">
        <f>'18'!F14</f>
        <v>0</v>
      </c>
      <c r="AD23" s="581" t="e">
        <f t="shared" si="16"/>
        <v>#DIV/0!</v>
      </c>
      <c r="AE23" s="604">
        <f>'18'!E15</f>
        <v>0</v>
      </c>
      <c r="AF23" s="613">
        <f>'18'!F15</f>
        <v>0</v>
      </c>
      <c r="AG23" s="569" t="e">
        <f t="shared" si="20"/>
        <v>#DIV/0!</v>
      </c>
      <c r="AH23" s="604">
        <f>'18'!E16</f>
        <v>0</v>
      </c>
      <c r="AI23" s="613">
        <f>'18'!F16</f>
        <v>0</v>
      </c>
      <c r="AJ23" s="569" t="e">
        <f t="shared" si="2"/>
        <v>#DIV/0!</v>
      </c>
      <c r="AK23" s="629">
        <f>'18'!E17</f>
        <v>0</v>
      </c>
      <c r="AL23" s="632">
        <f>'18'!E18</f>
        <v>0</v>
      </c>
      <c r="AM23" s="604">
        <f>'18'!E19</f>
        <v>0</v>
      </c>
      <c r="AN23" s="613">
        <f>'18'!F19</f>
        <v>0</v>
      </c>
      <c r="AO23" s="646" t="e">
        <f t="shared" si="3"/>
        <v>#DIV/0!</v>
      </c>
      <c r="AP23" s="633">
        <f>'18'!E20</f>
        <v>0</v>
      </c>
      <c r="AQ23" s="633">
        <f>'18'!F20</f>
        <v>0</v>
      </c>
      <c r="AR23" s="638" t="e">
        <f t="shared" si="30"/>
        <v>#DIV/0!</v>
      </c>
      <c r="AS23" s="636">
        <f>'18'!E21</f>
        <v>0</v>
      </c>
      <c r="AT23" s="633">
        <f>'18'!E22</f>
        <v>0</v>
      </c>
      <c r="AU23" s="633">
        <f>'18'!F22</f>
        <v>0</v>
      </c>
      <c r="AV23" s="650" t="e">
        <f t="shared" si="5"/>
        <v>#DIV/0!</v>
      </c>
      <c r="AW23" s="633">
        <f>'18'!E23</f>
        <v>0</v>
      </c>
      <c r="AX23" s="633">
        <f>'18'!F23</f>
        <v>0</v>
      </c>
      <c r="AY23" s="643" t="e">
        <f t="shared" si="6"/>
        <v>#DIV/0!</v>
      </c>
      <c r="AZ23" s="633">
        <f>'18'!E24</f>
        <v>0</v>
      </c>
      <c r="BA23" s="633">
        <f>'18'!F24</f>
        <v>0</v>
      </c>
      <c r="BB23" s="643" t="e">
        <f t="shared" si="31"/>
        <v>#DIV/0!</v>
      </c>
      <c r="BC23" s="633">
        <f>'18'!E25</f>
        <v>0</v>
      </c>
      <c r="BD23" s="633">
        <f>'18'!F25</f>
        <v>0</v>
      </c>
      <c r="BE23" s="643" t="e">
        <f t="shared" si="32"/>
        <v>#DIV/0!</v>
      </c>
      <c r="BF23" s="633">
        <f>'18'!E26</f>
        <v>0</v>
      </c>
      <c r="BG23" s="633">
        <f>'18'!F26</f>
        <v>0</v>
      </c>
      <c r="BH23" s="643" t="e">
        <f t="shared" si="33"/>
        <v>#DIV/0!</v>
      </c>
      <c r="BI23" s="633">
        <f>'18'!E27</f>
        <v>0</v>
      </c>
      <c r="BJ23" s="633">
        <f>'18'!F27</f>
        <v>0</v>
      </c>
      <c r="BK23" s="643" t="e">
        <f t="shared" si="34"/>
        <v>#DIV/0!</v>
      </c>
      <c r="BL23" s="651">
        <f t="shared" si="35"/>
        <v>375</v>
      </c>
      <c r="BM23" s="652">
        <f t="shared" si="17"/>
        <v>375</v>
      </c>
    </row>
    <row r="24" spans="1:70" ht="23.25">
      <c r="A24" s="553">
        <v>46253</v>
      </c>
      <c r="B24" s="554">
        <f>'19'!C4</f>
        <v>23</v>
      </c>
      <c r="C24" s="555">
        <f>'19'!D4</f>
        <v>1</v>
      </c>
      <c r="D24" s="555">
        <f>'19'!E4</f>
        <v>0</v>
      </c>
      <c r="E24" s="556">
        <f>'19'!F4</f>
        <v>0</v>
      </c>
      <c r="F24" s="559">
        <f t="shared" si="28"/>
        <v>24</v>
      </c>
      <c r="G24" s="554">
        <f>'19'!E6</f>
        <v>215</v>
      </c>
      <c r="H24" s="558">
        <f>'19'!F6</f>
        <v>23.5</v>
      </c>
      <c r="I24" s="581">
        <f t="shared" si="13"/>
        <v>9.1489361702127656</v>
      </c>
      <c r="J24" s="582">
        <f>'19'!E7</f>
        <v>140</v>
      </c>
      <c r="K24" s="583">
        <f>'19'!F7</f>
        <v>6.5</v>
      </c>
      <c r="L24" s="581">
        <f t="shared" si="14"/>
        <v>21.53846153846154</v>
      </c>
      <c r="M24" s="584">
        <f>'19'!E8</f>
        <v>80</v>
      </c>
      <c r="N24" s="585">
        <f>'19'!F8</f>
        <v>12</v>
      </c>
      <c r="O24" s="599">
        <f t="shared" si="29"/>
        <v>6.666666666666667</v>
      </c>
      <c r="P24" s="585">
        <f>'19'!E9</f>
        <v>70</v>
      </c>
      <c r="Q24" s="603">
        <f>'19'!F9</f>
        <v>12</v>
      </c>
      <c r="R24" s="581">
        <f t="shared" si="19"/>
        <v>5.833333333333333</v>
      </c>
      <c r="S24" s="585">
        <f>'19'!E10</f>
        <v>0</v>
      </c>
      <c r="T24" s="603">
        <f>'19'!F10</f>
        <v>0</v>
      </c>
      <c r="U24" s="605" t="e">
        <f t="shared" si="15"/>
        <v>#DIV/0!</v>
      </c>
      <c r="V24" s="584">
        <f>'19'!E12</f>
        <v>0</v>
      </c>
      <c r="W24" s="613">
        <f>'19'!F12</f>
        <v>0</v>
      </c>
      <c r="X24" s="569" t="e">
        <f t="shared" si="0"/>
        <v>#DIV/0!</v>
      </c>
      <c r="Y24" s="604">
        <f>'19'!E13</f>
        <v>0</v>
      </c>
      <c r="Z24" s="613">
        <f>'19'!F13</f>
        <v>0</v>
      </c>
      <c r="AA24" s="622" t="e">
        <f t="shared" si="1"/>
        <v>#DIV/0!</v>
      </c>
      <c r="AB24" s="615">
        <f>'19'!E14</f>
        <v>0</v>
      </c>
      <c r="AC24" s="616">
        <f>'19'!F14</f>
        <v>0</v>
      </c>
      <c r="AD24" s="581" t="e">
        <f t="shared" si="16"/>
        <v>#DIV/0!</v>
      </c>
      <c r="AE24" s="604">
        <f>'19'!E15</f>
        <v>0</v>
      </c>
      <c r="AF24" s="613">
        <f>'19'!F15</f>
        <v>0</v>
      </c>
      <c r="AG24" s="569" t="e">
        <f t="shared" si="20"/>
        <v>#DIV/0!</v>
      </c>
      <c r="AH24" s="604">
        <f>'19'!E16</f>
        <v>0</v>
      </c>
      <c r="AI24" s="613">
        <f>'19'!F16</f>
        <v>0</v>
      </c>
      <c r="AJ24" s="569" t="e">
        <f t="shared" si="2"/>
        <v>#DIV/0!</v>
      </c>
      <c r="AK24" s="629">
        <f>'19'!E17</f>
        <v>0</v>
      </c>
      <c r="AL24" s="632">
        <f>'19'!E18</f>
        <v>0</v>
      </c>
      <c r="AM24" s="604">
        <f>'19'!E19</f>
        <v>0</v>
      </c>
      <c r="AN24" s="613">
        <f>'19'!F19</f>
        <v>0</v>
      </c>
      <c r="AO24" s="646" t="e">
        <f t="shared" si="3"/>
        <v>#DIV/0!</v>
      </c>
      <c r="AP24" s="633">
        <f>'19'!E20</f>
        <v>0</v>
      </c>
      <c r="AQ24" s="633">
        <f>'19'!F20</f>
        <v>0</v>
      </c>
      <c r="AR24" s="638" t="e">
        <f t="shared" si="30"/>
        <v>#DIV/0!</v>
      </c>
      <c r="AS24" s="636">
        <f>'19'!E21</f>
        <v>0</v>
      </c>
      <c r="AT24" s="633">
        <f>'19'!E22</f>
        <v>0</v>
      </c>
      <c r="AU24" s="633">
        <f>'19'!F22</f>
        <v>0</v>
      </c>
      <c r="AV24" s="650" t="e">
        <f t="shared" si="5"/>
        <v>#DIV/0!</v>
      </c>
      <c r="AW24" s="633">
        <f>'19'!E23</f>
        <v>0</v>
      </c>
      <c r="AX24" s="633">
        <f>'19'!F23</f>
        <v>0</v>
      </c>
      <c r="AY24" s="643" t="e">
        <f t="shared" si="6"/>
        <v>#DIV/0!</v>
      </c>
      <c r="AZ24" s="633">
        <f>'19'!E24</f>
        <v>0</v>
      </c>
      <c r="BA24" s="633">
        <f>'19'!F24</f>
        <v>0</v>
      </c>
      <c r="BB24" s="643" t="e">
        <f t="shared" si="31"/>
        <v>#DIV/0!</v>
      </c>
      <c r="BC24" s="633">
        <f>'19'!E25</f>
        <v>0</v>
      </c>
      <c r="BD24" s="633">
        <f>'19'!F25</f>
        <v>0</v>
      </c>
      <c r="BE24" s="643" t="e">
        <f t="shared" si="32"/>
        <v>#DIV/0!</v>
      </c>
      <c r="BF24" s="633">
        <f>'19'!E26</f>
        <v>0</v>
      </c>
      <c r="BG24" s="633">
        <f>'19'!F26</f>
        <v>0</v>
      </c>
      <c r="BH24" s="643" t="e">
        <f t="shared" si="33"/>
        <v>#DIV/0!</v>
      </c>
      <c r="BI24" s="633">
        <f>'19'!E27</f>
        <v>0</v>
      </c>
      <c r="BJ24" s="633">
        <f>'19'!F27</f>
        <v>0</v>
      </c>
      <c r="BK24" s="643" t="e">
        <f t="shared" si="34"/>
        <v>#DIV/0!</v>
      </c>
      <c r="BL24" s="651">
        <f t="shared" si="35"/>
        <v>505</v>
      </c>
      <c r="BM24" s="652">
        <f t="shared" si="17"/>
        <v>505</v>
      </c>
    </row>
    <row r="25" spans="1:70" ht="23.25">
      <c r="A25" s="553">
        <v>46254</v>
      </c>
      <c r="B25" s="554">
        <f>'20'!C4</f>
        <v>23.5</v>
      </c>
      <c r="C25" s="555">
        <f>'20'!D4</f>
        <v>0.5</v>
      </c>
      <c r="D25" s="555">
        <f>'20'!E4</f>
        <v>0</v>
      </c>
      <c r="E25" s="556">
        <f>'20'!F4</f>
        <v>0</v>
      </c>
      <c r="F25" s="559">
        <f t="shared" si="28"/>
        <v>24</v>
      </c>
      <c r="G25" s="554">
        <f>'20'!E6</f>
        <v>250</v>
      </c>
      <c r="H25" s="558">
        <f>'20'!F6</f>
        <v>24</v>
      </c>
      <c r="I25" s="581">
        <f t="shared" si="13"/>
        <v>10.416666666666666</v>
      </c>
      <c r="J25" s="582">
        <f>'20'!E7</f>
        <v>71</v>
      </c>
      <c r="K25" s="583">
        <f>'20'!F7</f>
        <v>3.5</v>
      </c>
      <c r="L25" s="581">
        <f t="shared" si="14"/>
        <v>20.285714285714285</v>
      </c>
      <c r="M25" s="584">
        <f>'20'!E8</f>
        <v>80</v>
      </c>
      <c r="N25" s="585">
        <f>'20'!F8</f>
        <v>12</v>
      </c>
      <c r="O25" s="599">
        <f t="shared" si="29"/>
        <v>6.666666666666667</v>
      </c>
      <c r="P25" s="585">
        <f>'20'!E9</f>
        <v>74</v>
      </c>
      <c r="Q25" s="603">
        <f>'20'!F9</f>
        <v>12</v>
      </c>
      <c r="R25" s="581">
        <f t="shared" si="19"/>
        <v>6.166666666666667</v>
      </c>
      <c r="S25" s="585">
        <f>'20'!E10</f>
        <v>0</v>
      </c>
      <c r="T25" s="603">
        <f>'20'!F10</f>
        <v>0</v>
      </c>
      <c r="U25" s="605" t="e">
        <f t="shared" si="15"/>
        <v>#DIV/0!</v>
      </c>
      <c r="V25" s="584">
        <f>'20'!E12</f>
        <v>0</v>
      </c>
      <c r="W25" s="613">
        <f>'20'!F12</f>
        <v>0</v>
      </c>
      <c r="X25" s="569" t="e">
        <f t="shared" si="0"/>
        <v>#DIV/0!</v>
      </c>
      <c r="Y25" s="604">
        <f>'20'!E13</f>
        <v>3</v>
      </c>
      <c r="Z25" s="613">
        <f>'20'!F13</f>
        <v>1</v>
      </c>
      <c r="AA25" s="622">
        <f t="shared" si="1"/>
        <v>3</v>
      </c>
      <c r="AB25" s="615">
        <f>'20'!E14</f>
        <v>0</v>
      </c>
      <c r="AC25" s="616">
        <f>'20'!F14</f>
        <v>0</v>
      </c>
      <c r="AD25" s="581" t="e">
        <f t="shared" si="16"/>
        <v>#DIV/0!</v>
      </c>
      <c r="AE25" s="604">
        <f>'20'!E15</f>
        <v>0</v>
      </c>
      <c r="AF25" s="613">
        <f>'20'!F15</f>
        <v>0</v>
      </c>
      <c r="AG25" s="569" t="e">
        <f t="shared" si="20"/>
        <v>#DIV/0!</v>
      </c>
      <c r="AH25" s="604">
        <f>'20'!E16</f>
        <v>0</v>
      </c>
      <c r="AI25" s="613">
        <f>'20'!F16</f>
        <v>0</v>
      </c>
      <c r="AJ25" s="569" t="e">
        <f t="shared" si="2"/>
        <v>#DIV/0!</v>
      </c>
      <c r="AK25" s="629">
        <f>'20'!E17</f>
        <v>25</v>
      </c>
      <c r="AL25" s="632">
        <f>'20'!E18</f>
        <v>0</v>
      </c>
      <c r="AM25" s="604">
        <f>'20'!E19</f>
        <v>0</v>
      </c>
      <c r="AN25" s="613">
        <f>'20'!F19</f>
        <v>0</v>
      </c>
      <c r="AO25" s="646" t="e">
        <f t="shared" si="3"/>
        <v>#DIV/0!</v>
      </c>
      <c r="AP25" s="633">
        <f>'20'!E20</f>
        <v>0</v>
      </c>
      <c r="AQ25" s="633">
        <f>'20'!F20</f>
        <v>0</v>
      </c>
      <c r="AR25" s="638" t="e">
        <f t="shared" si="30"/>
        <v>#DIV/0!</v>
      </c>
      <c r="AS25" s="636">
        <f>'20'!E21</f>
        <v>0</v>
      </c>
      <c r="AT25" s="633">
        <f>'20'!E22</f>
        <v>0</v>
      </c>
      <c r="AU25" s="633">
        <f>'20'!F22</f>
        <v>0</v>
      </c>
      <c r="AV25" s="650" t="e">
        <f t="shared" si="5"/>
        <v>#DIV/0!</v>
      </c>
      <c r="AW25" s="633">
        <f>'20'!E23</f>
        <v>0</v>
      </c>
      <c r="AX25" s="633">
        <f>'20'!F23</f>
        <v>0</v>
      </c>
      <c r="AY25" s="643" t="e">
        <f t="shared" si="6"/>
        <v>#DIV/0!</v>
      </c>
      <c r="AZ25" s="633">
        <f>'20'!E24</f>
        <v>0</v>
      </c>
      <c r="BA25" s="633">
        <f>'20'!F24</f>
        <v>0</v>
      </c>
      <c r="BB25" s="643" t="e">
        <f t="shared" si="31"/>
        <v>#DIV/0!</v>
      </c>
      <c r="BC25" s="633">
        <f>'20'!E25</f>
        <v>0</v>
      </c>
      <c r="BD25" s="633">
        <f>'20'!F25</f>
        <v>0</v>
      </c>
      <c r="BE25" s="643" t="e">
        <f t="shared" si="32"/>
        <v>#DIV/0!</v>
      </c>
      <c r="BF25" s="633">
        <f>'20'!E26</f>
        <v>0</v>
      </c>
      <c r="BG25" s="633">
        <f>'20'!F26</f>
        <v>0</v>
      </c>
      <c r="BH25" s="643" t="e">
        <f t="shared" si="33"/>
        <v>#DIV/0!</v>
      </c>
      <c r="BI25" s="633">
        <f>'20'!E27</f>
        <v>0</v>
      </c>
      <c r="BJ25" s="633">
        <f>'20'!F27</f>
        <v>0</v>
      </c>
      <c r="BK25" s="643" t="e">
        <f t="shared" si="34"/>
        <v>#DIV/0!</v>
      </c>
      <c r="BL25" s="651">
        <f t="shared" si="35"/>
        <v>478</v>
      </c>
      <c r="BM25" s="652">
        <f t="shared" si="17"/>
        <v>503</v>
      </c>
    </row>
    <row r="26" spans="1:70" ht="23.25">
      <c r="A26" s="553">
        <v>46255</v>
      </c>
      <c r="B26" s="554">
        <f>'21'!C4</f>
        <v>0</v>
      </c>
      <c r="C26" s="555">
        <f>'21'!D4</f>
        <v>0</v>
      </c>
      <c r="D26" s="555">
        <f>'21'!E4</f>
        <v>0</v>
      </c>
      <c r="E26" s="556">
        <f>'21'!F4</f>
        <v>0</v>
      </c>
      <c r="F26" s="559">
        <f t="shared" si="28"/>
        <v>0</v>
      </c>
      <c r="G26" s="554">
        <f>'21'!E6</f>
        <v>0</v>
      </c>
      <c r="H26" s="558">
        <f>'21'!F6</f>
        <v>0</v>
      </c>
      <c r="I26" s="581" t="e">
        <f t="shared" si="13"/>
        <v>#DIV/0!</v>
      </c>
      <c r="J26" s="582">
        <f>'21'!E7</f>
        <v>0</v>
      </c>
      <c r="K26" s="583">
        <f>'21'!F7</f>
        <v>0</v>
      </c>
      <c r="L26" s="581" t="e">
        <f t="shared" si="14"/>
        <v>#DIV/0!</v>
      </c>
      <c r="M26" s="584">
        <f>'21'!E8</f>
        <v>0</v>
      </c>
      <c r="N26" s="585">
        <f>'21'!F8</f>
        <v>0</v>
      </c>
      <c r="O26" s="599" t="e">
        <f t="shared" si="29"/>
        <v>#DIV/0!</v>
      </c>
      <c r="P26" s="585">
        <f>'21'!E9</f>
        <v>0</v>
      </c>
      <c r="Q26" s="603">
        <f>'21'!F9</f>
        <v>0</v>
      </c>
      <c r="R26" s="581" t="e">
        <f t="shared" si="19"/>
        <v>#DIV/0!</v>
      </c>
      <c r="S26" s="585">
        <f>'21'!E10</f>
        <v>0</v>
      </c>
      <c r="T26" s="603">
        <f>'21'!F10</f>
        <v>0</v>
      </c>
      <c r="U26" s="605" t="e">
        <f t="shared" si="15"/>
        <v>#DIV/0!</v>
      </c>
      <c r="V26" s="584">
        <f>'21'!E12</f>
        <v>0</v>
      </c>
      <c r="W26" s="613">
        <f>'21'!F12</f>
        <v>0</v>
      </c>
      <c r="X26" s="569" t="e">
        <f t="shared" si="0"/>
        <v>#DIV/0!</v>
      </c>
      <c r="Y26" s="604">
        <f>'21'!E13</f>
        <v>0</v>
      </c>
      <c r="Z26" s="613">
        <f>'21'!F13</f>
        <v>0</v>
      </c>
      <c r="AA26" s="622" t="e">
        <f t="shared" si="1"/>
        <v>#DIV/0!</v>
      </c>
      <c r="AB26" s="615">
        <f>'21'!E14</f>
        <v>0</v>
      </c>
      <c r="AC26" s="616">
        <f>'21'!F14</f>
        <v>0</v>
      </c>
      <c r="AD26" s="581" t="e">
        <f t="shared" si="16"/>
        <v>#DIV/0!</v>
      </c>
      <c r="AE26" s="604">
        <f>'21'!E15</f>
        <v>0</v>
      </c>
      <c r="AF26" s="613">
        <f>'21'!F15</f>
        <v>0</v>
      </c>
      <c r="AG26" s="569" t="e">
        <f t="shared" si="20"/>
        <v>#DIV/0!</v>
      </c>
      <c r="AH26" s="604">
        <f>'21'!E16</f>
        <v>0</v>
      </c>
      <c r="AI26" s="613">
        <f>'21'!F16</f>
        <v>0</v>
      </c>
      <c r="AJ26" s="569" t="e">
        <f t="shared" si="2"/>
        <v>#DIV/0!</v>
      </c>
      <c r="AK26" s="629">
        <f>'21'!E17</f>
        <v>0</v>
      </c>
      <c r="AL26" s="632">
        <f>'21'!E18</f>
        <v>0</v>
      </c>
      <c r="AM26" s="604">
        <f>'21'!E19</f>
        <v>0</v>
      </c>
      <c r="AN26" s="613">
        <f>'21'!F19</f>
        <v>0</v>
      </c>
      <c r="AO26" s="646" t="e">
        <f t="shared" si="3"/>
        <v>#DIV/0!</v>
      </c>
      <c r="AP26" s="633">
        <f>'21'!E20</f>
        <v>0</v>
      </c>
      <c r="AQ26" s="633">
        <f>'21'!F20</f>
        <v>0</v>
      </c>
      <c r="AR26" s="638" t="e">
        <f t="shared" si="30"/>
        <v>#DIV/0!</v>
      </c>
      <c r="AS26" s="636">
        <f>'21'!E21</f>
        <v>0</v>
      </c>
      <c r="AT26" s="633">
        <f>'21'!E22</f>
        <v>0</v>
      </c>
      <c r="AU26" s="633">
        <f>'21'!F22</f>
        <v>0</v>
      </c>
      <c r="AV26" s="650" t="e">
        <f t="shared" si="5"/>
        <v>#DIV/0!</v>
      </c>
      <c r="AW26" s="633">
        <f>'21'!E23</f>
        <v>0</v>
      </c>
      <c r="AX26" s="633">
        <f>'21'!F23</f>
        <v>0</v>
      </c>
      <c r="AY26" s="643" t="e">
        <f t="shared" si="6"/>
        <v>#DIV/0!</v>
      </c>
      <c r="AZ26" s="633">
        <f>'21'!E24</f>
        <v>0</v>
      </c>
      <c r="BA26" s="633">
        <f>'21'!F24</f>
        <v>0</v>
      </c>
      <c r="BB26" s="643" t="e">
        <f t="shared" si="31"/>
        <v>#DIV/0!</v>
      </c>
      <c r="BC26" s="633">
        <f>'21'!E25</f>
        <v>0</v>
      </c>
      <c r="BD26" s="633">
        <f>'21'!F25</f>
        <v>0</v>
      </c>
      <c r="BE26" s="643" t="e">
        <f t="shared" si="32"/>
        <v>#DIV/0!</v>
      </c>
      <c r="BF26" s="633">
        <f>'21'!E26</f>
        <v>0</v>
      </c>
      <c r="BG26" s="633">
        <f>'21'!F26</f>
        <v>0</v>
      </c>
      <c r="BH26" s="643" t="e">
        <f t="shared" si="33"/>
        <v>#DIV/0!</v>
      </c>
      <c r="BI26" s="633">
        <f>'21'!E27</f>
        <v>0</v>
      </c>
      <c r="BJ26" s="633">
        <f>'21'!F27</f>
        <v>0</v>
      </c>
      <c r="BK26" s="643" t="e">
        <f t="shared" si="34"/>
        <v>#DIV/0!</v>
      </c>
      <c r="BL26" s="651">
        <f t="shared" si="35"/>
        <v>0</v>
      </c>
      <c r="BM26" s="652">
        <f t="shared" si="17"/>
        <v>0</v>
      </c>
    </row>
    <row r="27" spans="1:70" ht="23.25">
      <c r="A27" s="553">
        <v>46256</v>
      </c>
      <c r="B27" s="554">
        <f>'22'!C4</f>
        <v>0</v>
      </c>
      <c r="C27" s="555">
        <f>'22'!D4</f>
        <v>0</v>
      </c>
      <c r="D27" s="555">
        <f>'22'!E4</f>
        <v>0</v>
      </c>
      <c r="E27" s="556">
        <f>'22'!F4</f>
        <v>0</v>
      </c>
      <c r="F27" s="559">
        <f t="shared" si="28"/>
        <v>0</v>
      </c>
      <c r="G27" s="554">
        <f>'22'!E6</f>
        <v>0</v>
      </c>
      <c r="H27" s="558">
        <f>'22'!F6</f>
        <v>0</v>
      </c>
      <c r="I27" s="581" t="e">
        <f t="shared" si="13"/>
        <v>#DIV/0!</v>
      </c>
      <c r="J27" s="582">
        <f>'22'!E7</f>
        <v>0</v>
      </c>
      <c r="K27" s="583">
        <f>'22'!F7</f>
        <v>0</v>
      </c>
      <c r="L27" s="581" t="e">
        <f t="shared" si="14"/>
        <v>#DIV/0!</v>
      </c>
      <c r="M27" s="584">
        <f>'22'!E8</f>
        <v>0</v>
      </c>
      <c r="N27" s="585">
        <f>'22'!F8</f>
        <v>0</v>
      </c>
      <c r="O27" s="599" t="e">
        <f t="shared" si="29"/>
        <v>#DIV/0!</v>
      </c>
      <c r="P27" s="585">
        <f>'22'!E9</f>
        <v>0</v>
      </c>
      <c r="Q27" s="603">
        <f>'22'!F9</f>
        <v>0</v>
      </c>
      <c r="R27" s="581" t="e">
        <f t="shared" si="19"/>
        <v>#DIV/0!</v>
      </c>
      <c r="S27" s="585">
        <f>'22'!E10</f>
        <v>0</v>
      </c>
      <c r="T27" s="603">
        <f>'22'!F10</f>
        <v>0</v>
      </c>
      <c r="U27" s="605" t="e">
        <f t="shared" si="15"/>
        <v>#DIV/0!</v>
      </c>
      <c r="V27" s="584">
        <f>'22'!E12</f>
        <v>0</v>
      </c>
      <c r="W27" s="613">
        <f>'22'!F12</f>
        <v>0</v>
      </c>
      <c r="X27" s="569" t="e">
        <f t="shared" si="0"/>
        <v>#DIV/0!</v>
      </c>
      <c r="Y27" s="604">
        <f>'22'!E13</f>
        <v>0</v>
      </c>
      <c r="Z27" s="613">
        <f>'22'!F13</f>
        <v>0</v>
      </c>
      <c r="AA27" s="622" t="e">
        <f t="shared" si="1"/>
        <v>#DIV/0!</v>
      </c>
      <c r="AB27" s="615">
        <f>'22'!E14</f>
        <v>0</v>
      </c>
      <c r="AC27" s="616">
        <f>'22'!F14</f>
        <v>0</v>
      </c>
      <c r="AD27" s="581" t="e">
        <f t="shared" si="16"/>
        <v>#DIV/0!</v>
      </c>
      <c r="AE27" s="604">
        <f>'22'!E15</f>
        <v>0</v>
      </c>
      <c r="AF27" s="613">
        <f>'22'!F15</f>
        <v>0</v>
      </c>
      <c r="AG27" s="569" t="e">
        <f t="shared" si="20"/>
        <v>#DIV/0!</v>
      </c>
      <c r="AH27" s="604">
        <f>'22'!E16</f>
        <v>0</v>
      </c>
      <c r="AI27" s="613">
        <f>'22'!F16</f>
        <v>0</v>
      </c>
      <c r="AJ27" s="569" t="e">
        <f t="shared" si="2"/>
        <v>#DIV/0!</v>
      </c>
      <c r="AK27" s="629">
        <f>'22'!E17</f>
        <v>0</v>
      </c>
      <c r="AL27" s="632">
        <f>'22'!E18</f>
        <v>0</v>
      </c>
      <c r="AM27" s="604">
        <f>'22'!E19</f>
        <v>0</v>
      </c>
      <c r="AN27" s="613">
        <f>'22'!F19</f>
        <v>0</v>
      </c>
      <c r="AO27" s="646" t="e">
        <f t="shared" si="3"/>
        <v>#DIV/0!</v>
      </c>
      <c r="AP27" s="633">
        <f>'22'!E20</f>
        <v>0</v>
      </c>
      <c r="AQ27" s="633">
        <f>'22'!F20</f>
        <v>0</v>
      </c>
      <c r="AR27" s="638" t="e">
        <f t="shared" si="30"/>
        <v>#DIV/0!</v>
      </c>
      <c r="AS27" s="636">
        <f>'22'!E21</f>
        <v>0</v>
      </c>
      <c r="AT27" s="633">
        <f>'22'!E22</f>
        <v>0</v>
      </c>
      <c r="AU27" s="633">
        <f>'22'!F22</f>
        <v>0</v>
      </c>
      <c r="AV27" s="650" t="e">
        <f t="shared" si="5"/>
        <v>#DIV/0!</v>
      </c>
      <c r="AW27" s="633">
        <f>'22'!E23</f>
        <v>0</v>
      </c>
      <c r="AX27" s="633">
        <f>'22'!F23</f>
        <v>0</v>
      </c>
      <c r="AY27" s="643" t="e">
        <f t="shared" si="6"/>
        <v>#DIV/0!</v>
      </c>
      <c r="AZ27" s="633">
        <f>'22'!E24</f>
        <v>0</v>
      </c>
      <c r="BA27" s="633">
        <f>'22'!F24</f>
        <v>0</v>
      </c>
      <c r="BB27" s="643" t="e">
        <f t="shared" si="31"/>
        <v>#DIV/0!</v>
      </c>
      <c r="BC27" s="633">
        <f>'22'!E25</f>
        <v>0</v>
      </c>
      <c r="BD27" s="633">
        <f>'22'!F25</f>
        <v>0</v>
      </c>
      <c r="BE27" s="643" t="e">
        <f t="shared" si="32"/>
        <v>#DIV/0!</v>
      </c>
      <c r="BF27" s="633">
        <f>'22'!E26</f>
        <v>0</v>
      </c>
      <c r="BG27" s="633">
        <f>'22'!F26</f>
        <v>0</v>
      </c>
      <c r="BH27" s="643" t="e">
        <f t="shared" si="33"/>
        <v>#DIV/0!</v>
      </c>
      <c r="BI27" s="633">
        <f>'22'!E27</f>
        <v>0</v>
      </c>
      <c r="BJ27" s="633">
        <f>'22'!F27</f>
        <v>0</v>
      </c>
      <c r="BK27" s="643" t="e">
        <f t="shared" si="34"/>
        <v>#DIV/0!</v>
      </c>
      <c r="BL27" s="651">
        <f t="shared" si="35"/>
        <v>0</v>
      </c>
      <c r="BM27" s="652">
        <f t="shared" si="17"/>
        <v>0</v>
      </c>
    </row>
    <row r="28" spans="1:70" ht="23.25">
      <c r="A28" s="553">
        <v>46257</v>
      </c>
      <c r="B28" s="554">
        <f>'23'!C4</f>
        <v>0</v>
      </c>
      <c r="C28" s="555">
        <f>'23'!D4</f>
        <v>0</v>
      </c>
      <c r="D28" s="555">
        <f>'23'!E4</f>
        <v>0</v>
      </c>
      <c r="E28" s="556">
        <f>'23'!F4</f>
        <v>0</v>
      </c>
      <c r="F28" s="559">
        <f t="shared" si="28"/>
        <v>0</v>
      </c>
      <c r="G28" s="554">
        <f>'23'!E6</f>
        <v>0</v>
      </c>
      <c r="H28" s="558">
        <f>'23'!F6</f>
        <v>0</v>
      </c>
      <c r="I28" s="581" t="e">
        <f t="shared" si="13"/>
        <v>#DIV/0!</v>
      </c>
      <c r="J28" s="582">
        <f>'23'!E7</f>
        <v>0</v>
      </c>
      <c r="K28" s="583">
        <f>'23'!F7</f>
        <v>0</v>
      </c>
      <c r="L28" s="581" t="e">
        <f t="shared" si="14"/>
        <v>#DIV/0!</v>
      </c>
      <c r="M28" s="584">
        <f>'23'!E8</f>
        <v>0</v>
      </c>
      <c r="N28" s="585">
        <f>'23'!F8</f>
        <v>0</v>
      </c>
      <c r="O28" s="599" t="e">
        <f t="shared" si="29"/>
        <v>#DIV/0!</v>
      </c>
      <c r="P28" s="585">
        <f>'23'!E9</f>
        <v>0</v>
      </c>
      <c r="Q28" s="603">
        <f>'23'!F9</f>
        <v>0</v>
      </c>
      <c r="R28" s="581" t="e">
        <f t="shared" si="19"/>
        <v>#DIV/0!</v>
      </c>
      <c r="S28" s="585">
        <f>'23'!E10</f>
        <v>0</v>
      </c>
      <c r="T28" s="603">
        <f>'23'!F10</f>
        <v>0</v>
      </c>
      <c r="U28" s="605" t="e">
        <f t="shared" si="15"/>
        <v>#DIV/0!</v>
      </c>
      <c r="V28" s="584">
        <f>'23'!E12</f>
        <v>0</v>
      </c>
      <c r="W28" s="613">
        <f>'23'!F12</f>
        <v>0</v>
      </c>
      <c r="X28" s="569" t="e">
        <f t="shared" si="0"/>
        <v>#DIV/0!</v>
      </c>
      <c r="Y28" s="604">
        <f>'23'!E13</f>
        <v>0</v>
      </c>
      <c r="Z28" s="613">
        <f>'23'!F13</f>
        <v>0</v>
      </c>
      <c r="AA28" s="622" t="e">
        <f t="shared" si="1"/>
        <v>#DIV/0!</v>
      </c>
      <c r="AB28" s="615">
        <f>'23'!E14</f>
        <v>0</v>
      </c>
      <c r="AC28" s="616">
        <f>'23'!F14</f>
        <v>0</v>
      </c>
      <c r="AD28" s="581" t="e">
        <f t="shared" si="16"/>
        <v>#DIV/0!</v>
      </c>
      <c r="AE28" s="604">
        <f>'23'!E15</f>
        <v>0</v>
      </c>
      <c r="AF28" s="613">
        <f>'23'!F15</f>
        <v>0</v>
      </c>
      <c r="AG28" s="569" t="e">
        <f t="shared" si="20"/>
        <v>#DIV/0!</v>
      </c>
      <c r="AH28" s="604">
        <f>'23'!E16</f>
        <v>0</v>
      </c>
      <c r="AI28" s="613">
        <f>'23'!F16</f>
        <v>0</v>
      </c>
      <c r="AJ28" s="569" t="e">
        <f t="shared" si="2"/>
        <v>#DIV/0!</v>
      </c>
      <c r="AK28" s="629">
        <f>'23'!E17</f>
        <v>0</v>
      </c>
      <c r="AL28" s="632">
        <f>'23'!E18</f>
        <v>0</v>
      </c>
      <c r="AM28" s="604">
        <f>'23'!E19</f>
        <v>0</v>
      </c>
      <c r="AN28" s="613">
        <f>'23'!F19</f>
        <v>0</v>
      </c>
      <c r="AO28" s="646" t="e">
        <f t="shared" si="3"/>
        <v>#DIV/0!</v>
      </c>
      <c r="AP28" s="633">
        <f>'23'!E20</f>
        <v>0</v>
      </c>
      <c r="AQ28" s="633">
        <f>'23'!F20</f>
        <v>0</v>
      </c>
      <c r="AR28" s="638" t="e">
        <f t="shared" si="30"/>
        <v>#DIV/0!</v>
      </c>
      <c r="AS28" s="636">
        <f>'23'!E21</f>
        <v>0</v>
      </c>
      <c r="AT28" s="633">
        <f>'23'!E22</f>
        <v>0</v>
      </c>
      <c r="AU28" s="633">
        <f>'23'!F22</f>
        <v>0</v>
      </c>
      <c r="AV28" s="650" t="e">
        <f t="shared" si="5"/>
        <v>#DIV/0!</v>
      </c>
      <c r="AW28" s="633">
        <f>'23'!E23</f>
        <v>0</v>
      </c>
      <c r="AX28" s="633">
        <f>'23'!F23</f>
        <v>0</v>
      </c>
      <c r="AY28" s="643" t="e">
        <f t="shared" si="6"/>
        <v>#DIV/0!</v>
      </c>
      <c r="AZ28" s="633">
        <f>'23'!E24</f>
        <v>0</v>
      </c>
      <c r="BA28" s="633">
        <f>'23'!F24</f>
        <v>0</v>
      </c>
      <c r="BB28" s="643" t="e">
        <f t="shared" si="31"/>
        <v>#DIV/0!</v>
      </c>
      <c r="BC28" s="633">
        <f>'23'!E25</f>
        <v>0</v>
      </c>
      <c r="BD28" s="633">
        <f>'23'!F25</f>
        <v>0</v>
      </c>
      <c r="BE28" s="643" t="e">
        <f t="shared" si="32"/>
        <v>#DIV/0!</v>
      </c>
      <c r="BF28" s="633">
        <f>'23'!E26</f>
        <v>0</v>
      </c>
      <c r="BG28" s="633">
        <f>'23'!F26</f>
        <v>0</v>
      </c>
      <c r="BH28" s="643" t="e">
        <f t="shared" si="33"/>
        <v>#DIV/0!</v>
      </c>
      <c r="BI28" s="633">
        <f>'23'!E27</f>
        <v>0</v>
      </c>
      <c r="BJ28" s="633">
        <f>'23'!F27</f>
        <v>0</v>
      </c>
      <c r="BK28" s="643" t="e">
        <f t="shared" si="34"/>
        <v>#DIV/0!</v>
      </c>
      <c r="BL28" s="651">
        <f t="shared" si="35"/>
        <v>0</v>
      </c>
      <c r="BM28" s="652">
        <f t="shared" si="17"/>
        <v>0</v>
      </c>
    </row>
    <row r="29" spans="1:70" ht="23.25">
      <c r="A29" s="553">
        <v>46258</v>
      </c>
      <c r="B29" s="554">
        <f>'24'!C4</f>
        <v>0</v>
      </c>
      <c r="C29" s="555">
        <f>'24'!D4</f>
        <v>0</v>
      </c>
      <c r="D29" s="555">
        <f>'24'!E4</f>
        <v>0</v>
      </c>
      <c r="E29" s="556">
        <f>'24'!F4</f>
        <v>0</v>
      </c>
      <c r="F29" s="559">
        <f t="shared" si="28"/>
        <v>0</v>
      </c>
      <c r="G29" s="554">
        <f>'24'!E6</f>
        <v>0</v>
      </c>
      <c r="H29" s="558">
        <f>'24'!F6</f>
        <v>0</v>
      </c>
      <c r="I29" s="581" t="e">
        <f t="shared" si="13"/>
        <v>#DIV/0!</v>
      </c>
      <c r="J29" s="582">
        <f>'24'!E7</f>
        <v>0</v>
      </c>
      <c r="K29" s="583">
        <f>'24'!F7</f>
        <v>0</v>
      </c>
      <c r="L29" s="581" t="e">
        <f t="shared" si="14"/>
        <v>#DIV/0!</v>
      </c>
      <c r="M29" s="584">
        <f>'24'!E8</f>
        <v>0</v>
      </c>
      <c r="N29" s="585">
        <f>'24'!F8</f>
        <v>0</v>
      </c>
      <c r="O29" s="599" t="e">
        <f t="shared" si="29"/>
        <v>#DIV/0!</v>
      </c>
      <c r="P29" s="585">
        <f>'24'!E9</f>
        <v>0</v>
      </c>
      <c r="Q29" s="603">
        <f>'24'!F9</f>
        <v>0</v>
      </c>
      <c r="R29" s="581" t="e">
        <f t="shared" si="19"/>
        <v>#DIV/0!</v>
      </c>
      <c r="S29" s="585">
        <f>'24'!E10</f>
        <v>0</v>
      </c>
      <c r="T29" s="603">
        <f>'24'!F10</f>
        <v>0</v>
      </c>
      <c r="U29" s="605" t="e">
        <f t="shared" si="15"/>
        <v>#DIV/0!</v>
      </c>
      <c r="V29" s="584">
        <f>'24'!E12</f>
        <v>0</v>
      </c>
      <c r="W29" s="613">
        <f>'24'!F12</f>
        <v>0</v>
      </c>
      <c r="X29" s="569" t="e">
        <f t="shared" si="0"/>
        <v>#DIV/0!</v>
      </c>
      <c r="Y29" s="604">
        <f>'24'!E13</f>
        <v>0</v>
      </c>
      <c r="Z29" s="613">
        <f>'24'!F13</f>
        <v>0</v>
      </c>
      <c r="AA29" s="622" t="e">
        <f t="shared" si="1"/>
        <v>#DIV/0!</v>
      </c>
      <c r="AB29" s="615">
        <f>'24'!E14</f>
        <v>0</v>
      </c>
      <c r="AC29" s="616">
        <f>'24'!F14</f>
        <v>0</v>
      </c>
      <c r="AD29" s="581" t="e">
        <f t="shared" si="16"/>
        <v>#DIV/0!</v>
      </c>
      <c r="AE29" s="604">
        <f>'24'!E15</f>
        <v>0</v>
      </c>
      <c r="AF29" s="613">
        <f>'24'!F15</f>
        <v>0</v>
      </c>
      <c r="AG29" s="569" t="e">
        <f t="shared" si="20"/>
        <v>#DIV/0!</v>
      </c>
      <c r="AH29" s="604">
        <f>'24'!E16</f>
        <v>0</v>
      </c>
      <c r="AI29" s="613">
        <f>'24'!F16</f>
        <v>0</v>
      </c>
      <c r="AJ29" s="569" t="e">
        <f t="shared" si="2"/>
        <v>#DIV/0!</v>
      </c>
      <c r="AK29" s="629">
        <f>'24'!E17</f>
        <v>0</v>
      </c>
      <c r="AL29" s="632">
        <f>'24'!E18</f>
        <v>0</v>
      </c>
      <c r="AM29" s="604">
        <f>'24'!E19</f>
        <v>0</v>
      </c>
      <c r="AN29" s="613">
        <f>'24'!F19</f>
        <v>0</v>
      </c>
      <c r="AO29" s="646" t="e">
        <f t="shared" si="3"/>
        <v>#DIV/0!</v>
      </c>
      <c r="AP29" s="633">
        <f>'24'!E20</f>
        <v>0</v>
      </c>
      <c r="AQ29" s="633">
        <f>'24'!F20</f>
        <v>0</v>
      </c>
      <c r="AR29" s="638" t="e">
        <f t="shared" si="30"/>
        <v>#DIV/0!</v>
      </c>
      <c r="AS29" s="636">
        <f>'24'!E21</f>
        <v>0</v>
      </c>
      <c r="AT29" s="633">
        <f>'24'!E22</f>
        <v>0</v>
      </c>
      <c r="AU29" s="633">
        <f>'24'!F22</f>
        <v>0</v>
      </c>
      <c r="AV29" s="650" t="e">
        <f t="shared" si="5"/>
        <v>#DIV/0!</v>
      </c>
      <c r="AW29" s="633">
        <f>'24'!E23</f>
        <v>0</v>
      </c>
      <c r="AX29" s="633">
        <f>'24'!F23</f>
        <v>0</v>
      </c>
      <c r="AY29" s="643" t="e">
        <f t="shared" si="6"/>
        <v>#DIV/0!</v>
      </c>
      <c r="AZ29" s="633">
        <f>'24'!E24</f>
        <v>0</v>
      </c>
      <c r="BA29" s="633">
        <f>'24'!F24</f>
        <v>0</v>
      </c>
      <c r="BB29" s="643" t="e">
        <f t="shared" si="31"/>
        <v>#DIV/0!</v>
      </c>
      <c r="BC29" s="633">
        <f>'24'!E25</f>
        <v>0</v>
      </c>
      <c r="BD29" s="633">
        <f>'24'!F25</f>
        <v>0</v>
      </c>
      <c r="BE29" s="643" t="e">
        <f t="shared" si="32"/>
        <v>#DIV/0!</v>
      </c>
      <c r="BF29" s="633">
        <f>'24'!E26</f>
        <v>0</v>
      </c>
      <c r="BG29" s="633">
        <f>'24'!F26</f>
        <v>0</v>
      </c>
      <c r="BH29" s="643" t="e">
        <f t="shared" si="33"/>
        <v>#DIV/0!</v>
      </c>
      <c r="BI29" s="633">
        <f>'24'!E27</f>
        <v>0</v>
      </c>
      <c r="BJ29" s="633">
        <f>'24'!F27</f>
        <v>0</v>
      </c>
      <c r="BK29" s="643" t="e">
        <f t="shared" si="34"/>
        <v>#DIV/0!</v>
      </c>
      <c r="BL29" s="651">
        <f t="shared" si="35"/>
        <v>0</v>
      </c>
      <c r="BM29" s="652">
        <f t="shared" si="17"/>
        <v>0</v>
      </c>
    </row>
    <row r="30" spans="1:70" ht="23.25">
      <c r="A30" s="553">
        <v>46259</v>
      </c>
      <c r="B30" s="554">
        <f>'25'!C4</f>
        <v>0</v>
      </c>
      <c r="C30" s="555">
        <f>'25'!D4</f>
        <v>0</v>
      </c>
      <c r="D30" s="555">
        <f>'25'!E4</f>
        <v>0</v>
      </c>
      <c r="E30" s="556">
        <f>'25'!F4</f>
        <v>0</v>
      </c>
      <c r="F30" s="559">
        <f t="shared" si="28"/>
        <v>0</v>
      </c>
      <c r="G30" s="554">
        <f>'25'!E6</f>
        <v>0</v>
      </c>
      <c r="H30" s="558">
        <f>'25'!F6</f>
        <v>0</v>
      </c>
      <c r="I30" s="581" t="e">
        <f t="shared" si="13"/>
        <v>#DIV/0!</v>
      </c>
      <c r="J30" s="582">
        <f>'25'!E7</f>
        <v>0</v>
      </c>
      <c r="K30" s="583">
        <f>'25'!F7</f>
        <v>0</v>
      </c>
      <c r="L30" s="581" t="e">
        <f t="shared" si="14"/>
        <v>#DIV/0!</v>
      </c>
      <c r="M30" s="584">
        <f>'25'!E8</f>
        <v>0</v>
      </c>
      <c r="N30" s="585">
        <f>'25'!F8</f>
        <v>0</v>
      </c>
      <c r="O30" s="599" t="e">
        <f t="shared" si="29"/>
        <v>#DIV/0!</v>
      </c>
      <c r="P30" s="585">
        <f>'25'!E9</f>
        <v>0</v>
      </c>
      <c r="Q30" s="603">
        <f>'25'!F9</f>
        <v>0</v>
      </c>
      <c r="R30" s="581" t="e">
        <f t="shared" si="19"/>
        <v>#DIV/0!</v>
      </c>
      <c r="S30" s="585">
        <f>'25'!E10</f>
        <v>0</v>
      </c>
      <c r="T30" s="603">
        <f>'25'!F10</f>
        <v>0</v>
      </c>
      <c r="U30" s="605" t="e">
        <f t="shared" si="15"/>
        <v>#DIV/0!</v>
      </c>
      <c r="V30" s="584">
        <f>'25'!E12</f>
        <v>0</v>
      </c>
      <c r="W30" s="613">
        <f>'25'!F12</f>
        <v>0</v>
      </c>
      <c r="X30" s="569" t="e">
        <f t="shared" si="0"/>
        <v>#DIV/0!</v>
      </c>
      <c r="Y30" s="604">
        <f>'25'!E13</f>
        <v>0</v>
      </c>
      <c r="Z30" s="613">
        <f>'25'!F13</f>
        <v>0</v>
      </c>
      <c r="AA30" s="622" t="e">
        <f t="shared" si="1"/>
        <v>#DIV/0!</v>
      </c>
      <c r="AB30" s="615">
        <f>'25'!E14</f>
        <v>0</v>
      </c>
      <c r="AC30" s="616">
        <f>'25'!F14</f>
        <v>0</v>
      </c>
      <c r="AD30" s="581" t="e">
        <f t="shared" si="16"/>
        <v>#DIV/0!</v>
      </c>
      <c r="AE30" s="604">
        <f>'25'!E15</f>
        <v>0</v>
      </c>
      <c r="AF30" s="613">
        <f>'25'!F15</f>
        <v>0</v>
      </c>
      <c r="AG30" s="569" t="e">
        <f t="shared" si="20"/>
        <v>#DIV/0!</v>
      </c>
      <c r="AH30" s="604">
        <f>'25'!E16</f>
        <v>0</v>
      </c>
      <c r="AI30" s="613">
        <f>'25'!F16</f>
        <v>0</v>
      </c>
      <c r="AJ30" s="569" t="e">
        <f t="shared" si="2"/>
        <v>#DIV/0!</v>
      </c>
      <c r="AK30" s="629">
        <f>'25'!E17</f>
        <v>0</v>
      </c>
      <c r="AL30" s="632">
        <f>'25'!E18</f>
        <v>0</v>
      </c>
      <c r="AM30" s="604">
        <f>'25'!E19</f>
        <v>0</v>
      </c>
      <c r="AN30" s="613">
        <f>'25'!F19</f>
        <v>0</v>
      </c>
      <c r="AO30" s="646" t="e">
        <f t="shared" si="3"/>
        <v>#DIV/0!</v>
      </c>
      <c r="AP30" s="633">
        <f>'25'!E20</f>
        <v>0</v>
      </c>
      <c r="AQ30" s="633">
        <f>'25'!F20</f>
        <v>0</v>
      </c>
      <c r="AR30" s="638" t="e">
        <f t="shared" si="30"/>
        <v>#DIV/0!</v>
      </c>
      <c r="AS30" s="636">
        <f>'25'!E21</f>
        <v>0</v>
      </c>
      <c r="AT30" s="633">
        <f>'25'!E22</f>
        <v>0</v>
      </c>
      <c r="AU30" s="633">
        <f>'25'!F22</f>
        <v>0</v>
      </c>
      <c r="AV30" s="650" t="e">
        <f t="shared" si="5"/>
        <v>#DIV/0!</v>
      </c>
      <c r="AW30" s="633">
        <f>'25'!E23</f>
        <v>0</v>
      </c>
      <c r="AX30" s="633">
        <f>'25'!F23</f>
        <v>0</v>
      </c>
      <c r="AY30" s="643" t="e">
        <f t="shared" si="6"/>
        <v>#DIV/0!</v>
      </c>
      <c r="AZ30" s="633">
        <f>'25'!E24</f>
        <v>0</v>
      </c>
      <c r="BA30" s="633">
        <f>'25'!F24</f>
        <v>0</v>
      </c>
      <c r="BB30" s="643" t="e">
        <f t="shared" si="31"/>
        <v>#DIV/0!</v>
      </c>
      <c r="BC30" s="633">
        <f>'25'!E25</f>
        <v>0</v>
      </c>
      <c r="BD30" s="633">
        <f>'25'!F25</f>
        <v>0</v>
      </c>
      <c r="BE30" s="643" t="e">
        <f t="shared" si="32"/>
        <v>#DIV/0!</v>
      </c>
      <c r="BF30" s="633">
        <f>'25'!E26</f>
        <v>0</v>
      </c>
      <c r="BG30" s="633">
        <f>'25'!F26</f>
        <v>0</v>
      </c>
      <c r="BH30" s="643" t="e">
        <f t="shared" si="33"/>
        <v>#DIV/0!</v>
      </c>
      <c r="BI30" s="633">
        <f>'25'!E27</f>
        <v>0</v>
      </c>
      <c r="BJ30" s="633">
        <f>'25'!F27</f>
        <v>0</v>
      </c>
      <c r="BK30" s="643" t="e">
        <f t="shared" si="34"/>
        <v>#DIV/0!</v>
      </c>
      <c r="BL30" s="651">
        <f t="shared" si="35"/>
        <v>0</v>
      </c>
      <c r="BM30" s="652">
        <f t="shared" si="17"/>
        <v>0</v>
      </c>
      <c r="BN30" s="654"/>
      <c r="BO30" s="654"/>
      <c r="BP30" s="654"/>
      <c r="BQ30" s="654"/>
      <c r="BR30" s="654"/>
    </row>
    <row r="31" spans="1:70" ht="23.25">
      <c r="A31" s="553">
        <v>46260</v>
      </c>
      <c r="B31" s="554">
        <f>'26'!C4</f>
        <v>0</v>
      </c>
      <c r="C31" s="555">
        <f>'26'!D4</f>
        <v>0</v>
      </c>
      <c r="D31" s="555">
        <f>'26'!E4</f>
        <v>0</v>
      </c>
      <c r="E31" s="556">
        <f>'26'!F4</f>
        <v>0</v>
      </c>
      <c r="F31" s="559">
        <f t="shared" si="28"/>
        <v>0</v>
      </c>
      <c r="G31" s="554">
        <f>'26'!E6</f>
        <v>0</v>
      </c>
      <c r="H31" s="558">
        <f>'26'!F6</f>
        <v>0</v>
      </c>
      <c r="I31" s="581" t="e">
        <f t="shared" si="13"/>
        <v>#DIV/0!</v>
      </c>
      <c r="J31" s="582">
        <f>'26'!E7</f>
        <v>0</v>
      </c>
      <c r="K31" s="583">
        <f>'26'!F7</f>
        <v>0</v>
      </c>
      <c r="L31" s="581" t="e">
        <f t="shared" si="14"/>
        <v>#DIV/0!</v>
      </c>
      <c r="M31" s="584">
        <f>'26'!E8</f>
        <v>0</v>
      </c>
      <c r="N31" s="585">
        <f>'26'!F8</f>
        <v>0</v>
      </c>
      <c r="O31" s="599" t="e">
        <f t="shared" si="29"/>
        <v>#DIV/0!</v>
      </c>
      <c r="P31" s="585">
        <f>'26'!E9</f>
        <v>0</v>
      </c>
      <c r="Q31" s="603">
        <f>'26'!F9</f>
        <v>0</v>
      </c>
      <c r="R31" s="581" t="e">
        <f t="shared" si="19"/>
        <v>#DIV/0!</v>
      </c>
      <c r="S31" s="585">
        <f>'26'!E10</f>
        <v>0</v>
      </c>
      <c r="T31" s="603">
        <f>'26'!F10</f>
        <v>0</v>
      </c>
      <c r="U31" s="605" t="e">
        <f t="shared" si="15"/>
        <v>#DIV/0!</v>
      </c>
      <c r="V31" s="584">
        <f>'26'!E12</f>
        <v>0</v>
      </c>
      <c r="W31" s="613">
        <f>'26'!F12</f>
        <v>0</v>
      </c>
      <c r="X31" s="569" t="e">
        <f t="shared" si="0"/>
        <v>#DIV/0!</v>
      </c>
      <c r="Y31" s="604">
        <f>'26'!E13</f>
        <v>0</v>
      </c>
      <c r="Z31" s="613">
        <f>'26'!F13</f>
        <v>0</v>
      </c>
      <c r="AA31" s="622" t="e">
        <f t="shared" si="1"/>
        <v>#DIV/0!</v>
      </c>
      <c r="AB31" s="615">
        <f>'26'!E14</f>
        <v>0</v>
      </c>
      <c r="AC31" s="616">
        <f>'26'!F14</f>
        <v>0</v>
      </c>
      <c r="AD31" s="581" t="e">
        <f t="shared" si="16"/>
        <v>#DIV/0!</v>
      </c>
      <c r="AE31" s="604">
        <f>'26'!E15</f>
        <v>0</v>
      </c>
      <c r="AF31" s="613">
        <f>'26'!F15</f>
        <v>0</v>
      </c>
      <c r="AG31" s="569" t="e">
        <f t="shared" si="20"/>
        <v>#DIV/0!</v>
      </c>
      <c r="AH31" s="604">
        <f>'26'!E16</f>
        <v>0</v>
      </c>
      <c r="AI31" s="613">
        <f>'26'!F16</f>
        <v>0</v>
      </c>
      <c r="AJ31" s="569" t="e">
        <f t="shared" si="2"/>
        <v>#DIV/0!</v>
      </c>
      <c r="AK31" s="629">
        <f>'26'!E17</f>
        <v>0</v>
      </c>
      <c r="AL31" s="632">
        <f>'26'!E18</f>
        <v>0</v>
      </c>
      <c r="AM31" s="604">
        <f>'26'!E19</f>
        <v>0</v>
      </c>
      <c r="AN31" s="613">
        <f>'26'!F19</f>
        <v>0</v>
      </c>
      <c r="AO31" s="646" t="e">
        <f t="shared" si="3"/>
        <v>#DIV/0!</v>
      </c>
      <c r="AP31" s="633">
        <f>'26'!E20</f>
        <v>0</v>
      </c>
      <c r="AQ31" s="633">
        <f>'26'!F20</f>
        <v>0</v>
      </c>
      <c r="AR31" s="638" t="e">
        <f t="shared" si="30"/>
        <v>#DIV/0!</v>
      </c>
      <c r="AS31" s="636">
        <f>'26'!E21</f>
        <v>0</v>
      </c>
      <c r="AT31" s="633">
        <f>'26'!E22</f>
        <v>0</v>
      </c>
      <c r="AU31" s="633">
        <f>'26'!F22</f>
        <v>0</v>
      </c>
      <c r="AV31" s="650" t="e">
        <f t="shared" si="5"/>
        <v>#DIV/0!</v>
      </c>
      <c r="AW31" s="633">
        <f>'26'!E23</f>
        <v>0</v>
      </c>
      <c r="AX31" s="633">
        <f>'26'!F23</f>
        <v>0</v>
      </c>
      <c r="AY31" s="643" t="e">
        <f t="shared" si="6"/>
        <v>#DIV/0!</v>
      </c>
      <c r="AZ31" s="633">
        <f>'26'!E24</f>
        <v>0</v>
      </c>
      <c r="BA31" s="633">
        <f>'26'!F24</f>
        <v>0</v>
      </c>
      <c r="BB31" s="643" t="e">
        <f t="shared" si="31"/>
        <v>#DIV/0!</v>
      </c>
      <c r="BC31" s="633">
        <f>'26'!E25</f>
        <v>0</v>
      </c>
      <c r="BD31" s="633">
        <f>'26'!F25</f>
        <v>0</v>
      </c>
      <c r="BE31" s="643" t="e">
        <f t="shared" si="32"/>
        <v>#DIV/0!</v>
      </c>
      <c r="BF31" s="633">
        <f>'26'!E26</f>
        <v>0</v>
      </c>
      <c r="BG31" s="633">
        <f>'26'!F26</f>
        <v>0</v>
      </c>
      <c r="BH31" s="643" t="e">
        <f t="shared" si="33"/>
        <v>#DIV/0!</v>
      </c>
      <c r="BI31" s="633">
        <f>'26'!E27</f>
        <v>0</v>
      </c>
      <c r="BJ31" s="633">
        <f>'26'!F27</f>
        <v>0</v>
      </c>
      <c r="BK31" s="643" t="e">
        <f t="shared" si="34"/>
        <v>#DIV/0!</v>
      </c>
      <c r="BL31" s="651">
        <f t="shared" si="35"/>
        <v>0</v>
      </c>
      <c r="BM31" s="652">
        <f t="shared" si="17"/>
        <v>0</v>
      </c>
    </row>
    <row r="32" spans="1:70" ht="23.25">
      <c r="A32" s="553">
        <v>46261</v>
      </c>
      <c r="B32" s="554">
        <f>'27'!C4</f>
        <v>0</v>
      </c>
      <c r="C32" s="555">
        <f>'27'!D4</f>
        <v>0</v>
      </c>
      <c r="D32" s="555">
        <f>'27'!E4</f>
        <v>0</v>
      </c>
      <c r="E32" s="556">
        <f>'27'!F4</f>
        <v>0</v>
      </c>
      <c r="F32" s="559">
        <f t="shared" si="28"/>
        <v>0</v>
      </c>
      <c r="G32" s="554">
        <f>'27'!E6</f>
        <v>0</v>
      </c>
      <c r="H32" s="558">
        <f>'27'!F6</f>
        <v>0</v>
      </c>
      <c r="I32" s="581" t="e">
        <f t="shared" si="13"/>
        <v>#DIV/0!</v>
      </c>
      <c r="J32" s="582">
        <f>'27'!E7</f>
        <v>0</v>
      </c>
      <c r="K32" s="583">
        <f>'27'!F7</f>
        <v>0</v>
      </c>
      <c r="L32" s="581" t="e">
        <f t="shared" si="14"/>
        <v>#DIV/0!</v>
      </c>
      <c r="M32" s="584">
        <f>'27'!E8</f>
        <v>0</v>
      </c>
      <c r="N32" s="585">
        <f>'27'!F8</f>
        <v>0</v>
      </c>
      <c r="O32" s="599" t="e">
        <f t="shared" si="29"/>
        <v>#DIV/0!</v>
      </c>
      <c r="P32" s="585">
        <f>'27'!E9</f>
        <v>0</v>
      </c>
      <c r="Q32" s="603">
        <f>'27'!F9</f>
        <v>0</v>
      </c>
      <c r="R32" s="581" t="e">
        <f t="shared" si="19"/>
        <v>#DIV/0!</v>
      </c>
      <c r="S32" s="585">
        <f>'27'!E10</f>
        <v>0</v>
      </c>
      <c r="T32" s="603">
        <f>'27'!F10</f>
        <v>0</v>
      </c>
      <c r="U32" s="605" t="e">
        <f t="shared" si="15"/>
        <v>#DIV/0!</v>
      </c>
      <c r="V32" s="584">
        <f>'27'!E12</f>
        <v>0</v>
      </c>
      <c r="W32" s="613">
        <f>'27'!F12</f>
        <v>0</v>
      </c>
      <c r="X32" s="569" t="e">
        <f t="shared" si="0"/>
        <v>#DIV/0!</v>
      </c>
      <c r="Y32" s="604">
        <f>'27'!E13</f>
        <v>0</v>
      </c>
      <c r="Z32" s="613">
        <f>'27'!F13</f>
        <v>0</v>
      </c>
      <c r="AA32" s="622" t="e">
        <f t="shared" si="1"/>
        <v>#DIV/0!</v>
      </c>
      <c r="AB32" s="615">
        <f>'27'!E14</f>
        <v>0</v>
      </c>
      <c r="AC32" s="616">
        <f>'27'!F14</f>
        <v>0</v>
      </c>
      <c r="AD32" s="581" t="e">
        <f t="shared" si="16"/>
        <v>#DIV/0!</v>
      </c>
      <c r="AE32" s="604">
        <f>'27'!E15</f>
        <v>0</v>
      </c>
      <c r="AF32" s="613">
        <f>'27'!F15</f>
        <v>0</v>
      </c>
      <c r="AG32" s="569" t="e">
        <f t="shared" si="20"/>
        <v>#DIV/0!</v>
      </c>
      <c r="AH32" s="604">
        <f>'27'!E16</f>
        <v>0</v>
      </c>
      <c r="AI32" s="613">
        <f>'27'!F16</f>
        <v>0</v>
      </c>
      <c r="AJ32" s="569" t="e">
        <f t="shared" si="2"/>
        <v>#DIV/0!</v>
      </c>
      <c r="AK32" s="629">
        <f>'27'!E17</f>
        <v>0</v>
      </c>
      <c r="AL32" s="632">
        <f>'27'!E18</f>
        <v>0</v>
      </c>
      <c r="AM32" s="604">
        <f>'27'!E19</f>
        <v>0</v>
      </c>
      <c r="AN32" s="613">
        <f>'27'!F19</f>
        <v>0</v>
      </c>
      <c r="AO32" s="646" t="e">
        <f t="shared" si="3"/>
        <v>#DIV/0!</v>
      </c>
      <c r="AP32" s="633">
        <f>'27'!E20</f>
        <v>0</v>
      </c>
      <c r="AQ32" s="633">
        <f>'27'!F20</f>
        <v>0</v>
      </c>
      <c r="AR32" s="638" t="e">
        <f t="shared" si="30"/>
        <v>#DIV/0!</v>
      </c>
      <c r="AS32" s="636">
        <f>'27'!E21</f>
        <v>0</v>
      </c>
      <c r="AT32" s="633">
        <f>'27'!E22</f>
        <v>0</v>
      </c>
      <c r="AU32" s="633">
        <f>'27'!F22</f>
        <v>0</v>
      </c>
      <c r="AV32" s="650" t="e">
        <f t="shared" si="5"/>
        <v>#DIV/0!</v>
      </c>
      <c r="AW32" s="633">
        <f>'27'!E23</f>
        <v>0</v>
      </c>
      <c r="AX32" s="633">
        <f>'27'!F23</f>
        <v>0</v>
      </c>
      <c r="AY32" s="643" t="e">
        <f t="shared" si="6"/>
        <v>#DIV/0!</v>
      </c>
      <c r="AZ32" s="633">
        <f>'27'!E24</f>
        <v>0</v>
      </c>
      <c r="BA32" s="633">
        <f>'27'!F24</f>
        <v>0</v>
      </c>
      <c r="BB32" s="643" t="e">
        <f t="shared" si="31"/>
        <v>#DIV/0!</v>
      </c>
      <c r="BC32" s="633">
        <f>'27'!E25</f>
        <v>0</v>
      </c>
      <c r="BD32" s="633">
        <f>'27'!F25</f>
        <v>0</v>
      </c>
      <c r="BE32" s="643" t="e">
        <f t="shared" si="32"/>
        <v>#DIV/0!</v>
      </c>
      <c r="BF32" s="633">
        <f>'27'!E26</f>
        <v>0</v>
      </c>
      <c r="BG32" s="633">
        <f>'27'!F26</f>
        <v>0</v>
      </c>
      <c r="BH32" s="643" t="e">
        <f t="shared" si="33"/>
        <v>#DIV/0!</v>
      </c>
      <c r="BI32" s="633">
        <f>'27'!E27</f>
        <v>0</v>
      </c>
      <c r="BJ32" s="633">
        <f>'27'!F27</f>
        <v>0</v>
      </c>
      <c r="BK32" s="643" t="e">
        <f t="shared" si="34"/>
        <v>#DIV/0!</v>
      </c>
      <c r="BL32" s="651">
        <f t="shared" si="35"/>
        <v>0</v>
      </c>
      <c r="BM32" s="652">
        <f t="shared" si="17"/>
        <v>0</v>
      </c>
    </row>
    <row r="33" spans="1:65" ht="23.25">
      <c r="A33" s="553">
        <v>46262</v>
      </c>
      <c r="B33" s="554">
        <f>'28'!C4</f>
        <v>0</v>
      </c>
      <c r="C33" s="555">
        <f>'28'!D4</f>
        <v>0</v>
      </c>
      <c r="D33" s="555">
        <f>'28'!E4</f>
        <v>0</v>
      </c>
      <c r="E33" s="556">
        <f>'28'!F4</f>
        <v>0</v>
      </c>
      <c r="F33" s="559">
        <f t="shared" si="28"/>
        <v>0</v>
      </c>
      <c r="G33" s="554">
        <f>'28'!E6</f>
        <v>0</v>
      </c>
      <c r="H33" s="558">
        <f>'28'!F6</f>
        <v>0</v>
      </c>
      <c r="I33" s="581" t="e">
        <f t="shared" si="13"/>
        <v>#DIV/0!</v>
      </c>
      <c r="J33" s="582">
        <f>'28'!E7</f>
        <v>0</v>
      </c>
      <c r="K33" s="583">
        <f>'28'!F7</f>
        <v>0</v>
      </c>
      <c r="L33" s="581" t="e">
        <f t="shared" si="14"/>
        <v>#DIV/0!</v>
      </c>
      <c r="M33" s="584">
        <f>'28'!E8</f>
        <v>0</v>
      </c>
      <c r="N33" s="585">
        <f>'28'!F8</f>
        <v>0</v>
      </c>
      <c r="O33" s="599" t="e">
        <f t="shared" si="29"/>
        <v>#DIV/0!</v>
      </c>
      <c r="P33" s="585">
        <f>'28'!E9</f>
        <v>0</v>
      </c>
      <c r="Q33" s="603">
        <f>'28'!F9</f>
        <v>0</v>
      </c>
      <c r="R33" s="581" t="e">
        <f t="shared" si="19"/>
        <v>#DIV/0!</v>
      </c>
      <c r="S33" s="585">
        <f>'28'!E10</f>
        <v>0</v>
      </c>
      <c r="T33" s="603">
        <f>'28'!F10</f>
        <v>0</v>
      </c>
      <c r="U33" s="605" t="e">
        <f t="shared" si="15"/>
        <v>#DIV/0!</v>
      </c>
      <c r="V33" s="584">
        <f>'28'!E12</f>
        <v>0</v>
      </c>
      <c r="W33" s="613">
        <f>'28'!F12</f>
        <v>0</v>
      </c>
      <c r="X33" s="569" t="e">
        <f t="shared" si="0"/>
        <v>#DIV/0!</v>
      </c>
      <c r="Y33" s="604">
        <f>'28'!E13</f>
        <v>0</v>
      </c>
      <c r="Z33" s="613">
        <f>'28'!F13</f>
        <v>0</v>
      </c>
      <c r="AA33" s="622" t="e">
        <f t="shared" si="1"/>
        <v>#DIV/0!</v>
      </c>
      <c r="AB33" s="615">
        <f>'28'!E14</f>
        <v>0</v>
      </c>
      <c r="AC33" s="616">
        <f>'28'!F14</f>
        <v>0</v>
      </c>
      <c r="AD33" s="581" t="e">
        <f t="shared" si="16"/>
        <v>#DIV/0!</v>
      </c>
      <c r="AE33" s="604">
        <f>'28'!E15</f>
        <v>0</v>
      </c>
      <c r="AF33" s="613">
        <f>'28'!F15</f>
        <v>0</v>
      </c>
      <c r="AG33" s="569" t="e">
        <f t="shared" si="20"/>
        <v>#DIV/0!</v>
      </c>
      <c r="AH33" s="604">
        <f>'28'!E16</f>
        <v>0</v>
      </c>
      <c r="AI33" s="613">
        <f>'28'!F16</f>
        <v>0</v>
      </c>
      <c r="AJ33" s="569" t="e">
        <f t="shared" si="2"/>
        <v>#DIV/0!</v>
      </c>
      <c r="AK33" s="629">
        <f>'28'!E17</f>
        <v>0</v>
      </c>
      <c r="AL33" s="632">
        <f>'28'!E18</f>
        <v>0</v>
      </c>
      <c r="AM33" s="604">
        <f>'28'!E19</f>
        <v>0</v>
      </c>
      <c r="AN33" s="613">
        <f>'28'!F19</f>
        <v>0</v>
      </c>
      <c r="AO33" s="646" t="e">
        <f t="shared" si="3"/>
        <v>#DIV/0!</v>
      </c>
      <c r="AP33" s="633">
        <f>'28'!E20</f>
        <v>0</v>
      </c>
      <c r="AQ33" s="633">
        <f>'28'!F20</f>
        <v>0</v>
      </c>
      <c r="AR33" s="638" t="e">
        <f t="shared" si="30"/>
        <v>#DIV/0!</v>
      </c>
      <c r="AS33" s="636">
        <f>'28'!E21</f>
        <v>0</v>
      </c>
      <c r="AT33" s="633">
        <f>'28'!E22</f>
        <v>0</v>
      </c>
      <c r="AU33" s="633">
        <f>'28'!F22</f>
        <v>0</v>
      </c>
      <c r="AV33" s="650" t="e">
        <f t="shared" si="5"/>
        <v>#DIV/0!</v>
      </c>
      <c r="AW33" s="633">
        <f>'28'!E26</f>
        <v>0</v>
      </c>
      <c r="AX33" s="633">
        <f>'28'!F26</f>
        <v>0</v>
      </c>
      <c r="AY33" s="643" t="e">
        <f t="shared" si="6"/>
        <v>#DIV/0!</v>
      </c>
      <c r="AZ33" s="633">
        <f>'28'!E24</f>
        <v>0</v>
      </c>
      <c r="BA33" s="633">
        <f>'28'!F24</f>
        <v>0</v>
      </c>
      <c r="BB33" s="643" t="e">
        <f t="shared" si="31"/>
        <v>#DIV/0!</v>
      </c>
      <c r="BC33" s="633">
        <f>'28'!E25</f>
        <v>0</v>
      </c>
      <c r="BD33" s="633">
        <f>'28'!F25</f>
        <v>0</v>
      </c>
      <c r="BE33" s="643" t="e">
        <f t="shared" si="32"/>
        <v>#DIV/0!</v>
      </c>
      <c r="BF33" s="633">
        <f>'28'!E26</f>
        <v>0</v>
      </c>
      <c r="BG33" s="633">
        <f>'28'!F26</f>
        <v>0</v>
      </c>
      <c r="BH33" s="643" t="e">
        <f t="shared" si="33"/>
        <v>#DIV/0!</v>
      </c>
      <c r="BI33" s="633">
        <f>'28'!E27</f>
        <v>0</v>
      </c>
      <c r="BJ33" s="633">
        <f>'28'!F27</f>
        <v>0</v>
      </c>
      <c r="BK33" s="643" t="e">
        <f t="shared" si="34"/>
        <v>#DIV/0!</v>
      </c>
      <c r="BL33" s="651">
        <f t="shared" si="35"/>
        <v>0</v>
      </c>
      <c r="BM33" s="652">
        <f t="shared" si="17"/>
        <v>0</v>
      </c>
    </row>
    <row r="34" spans="1:65" ht="23.25">
      <c r="A34" s="553">
        <v>46263</v>
      </c>
      <c r="B34" s="554">
        <f>'29'!C4</f>
        <v>0</v>
      </c>
      <c r="C34" s="555">
        <f>'29'!D4</f>
        <v>0</v>
      </c>
      <c r="D34" s="555">
        <f>'29'!E4</f>
        <v>0</v>
      </c>
      <c r="E34" s="556">
        <f>'29'!F4</f>
        <v>0</v>
      </c>
      <c r="F34" s="559">
        <f t="shared" si="28"/>
        <v>0</v>
      </c>
      <c r="G34" s="554">
        <f>'29'!E6</f>
        <v>0</v>
      </c>
      <c r="H34" s="558">
        <f>'29'!F6</f>
        <v>0</v>
      </c>
      <c r="I34" s="581" t="e">
        <f t="shared" si="13"/>
        <v>#DIV/0!</v>
      </c>
      <c r="J34" s="582">
        <f>'29'!E7</f>
        <v>0</v>
      </c>
      <c r="K34" s="583">
        <f>'29'!F7</f>
        <v>0</v>
      </c>
      <c r="L34" s="581" t="e">
        <f t="shared" si="14"/>
        <v>#DIV/0!</v>
      </c>
      <c r="M34" s="584">
        <f>'29'!E8</f>
        <v>0</v>
      </c>
      <c r="N34" s="585">
        <f>'29'!F8</f>
        <v>0</v>
      </c>
      <c r="O34" s="599" t="e">
        <f t="shared" si="29"/>
        <v>#DIV/0!</v>
      </c>
      <c r="P34" s="585">
        <f>'29'!E9</f>
        <v>0</v>
      </c>
      <c r="Q34" s="603">
        <f>'29'!F9</f>
        <v>0</v>
      </c>
      <c r="R34" s="581" t="e">
        <f t="shared" si="19"/>
        <v>#DIV/0!</v>
      </c>
      <c r="S34" s="585">
        <f>'29'!E10</f>
        <v>0</v>
      </c>
      <c r="T34" s="603">
        <f>'29'!F10</f>
        <v>0</v>
      </c>
      <c r="U34" s="605" t="e">
        <f t="shared" si="15"/>
        <v>#DIV/0!</v>
      </c>
      <c r="V34" s="584">
        <f>'29'!E12</f>
        <v>0</v>
      </c>
      <c r="W34" s="613">
        <f>'29'!F12</f>
        <v>0</v>
      </c>
      <c r="X34" s="569" t="e">
        <f t="shared" si="0"/>
        <v>#DIV/0!</v>
      </c>
      <c r="Y34" s="604">
        <f>'29'!E13</f>
        <v>0</v>
      </c>
      <c r="Z34" s="613">
        <f>'29'!F13</f>
        <v>0</v>
      </c>
      <c r="AA34" s="622" t="e">
        <f t="shared" si="1"/>
        <v>#DIV/0!</v>
      </c>
      <c r="AB34" s="615">
        <f>'29'!E14</f>
        <v>0</v>
      </c>
      <c r="AC34" s="616">
        <f>'29'!F14</f>
        <v>0</v>
      </c>
      <c r="AD34" s="581" t="e">
        <f t="shared" si="16"/>
        <v>#DIV/0!</v>
      </c>
      <c r="AE34" s="604">
        <f>'29'!E15</f>
        <v>0</v>
      </c>
      <c r="AF34" s="613">
        <f>'29'!F15</f>
        <v>0</v>
      </c>
      <c r="AG34" s="569" t="e">
        <f t="shared" si="20"/>
        <v>#DIV/0!</v>
      </c>
      <c r="AH34" s="604">
        <f>'29'!E16</f>
        <v>0</v>
      </c>
      <c r="AI34" s="613">
        <f>'29'!F16</f>
        <v>0</v>
      </c>
      <c r="AJ34" s="569" t="e">
        <f t="shared" si="2"/>
        <v>#DIV/0!</v>
      </c>
      <c r="AK34" s="629">
        <f>'29'!E17</f>
        <v>0</v>
      </c>
      <c r="AL34" s="632">
        <f>'29'!E18</f>
        <v>0</v>
      </c>
      <c r="AM34" s="604">
        <f>'29'!E19</f>
        <v>0</v>
      </c>
      <c r="AN34" s="613">
        <f>'29'!F19</f>
        <v>0</v>
      </c>
      <c r="AO34" s="646" t="e">
        <f t="shared" si="3"/>
        <v>#DIV/0!</v>
      </c>
      <c r="AP34" s="633">
        <f>'29'!E20</f>
        <v>0</v>
      </c>
      <c r="AQ34" s="633">
        <f>'29'!F20</f>
        <v>0</v>
      </c>
      <c r="AR34" s="638" t="e">
        <f t="shared" si="30"/>
        <v>#DIV/0!</v>
      </c>
      <c r="AS34" s="636">
        <f>'29'!E21</f>
        <v>0</v>
      </c>
      <c r="AT34" s="633">
        <f>'29'!E22</f>
        <v>0</v>
      </c>
      <c r="AU34" s="633">
        <f>'29'!F22</f>
        <v>0</v>
      </c>
      <c r="AV34" s="650" t="e">
        <f t="shared" si="5"/>
        <v>#DIV/0!</v>
      </c>
      <c r="AW34" s="633">
        <f>'29'!E23</f>
        <v>0</v>
      </c>
      <c r="AX34" s="633">
        <f>'29'!F23</f>
        <v>0</v>
      </c>
      <c r="AY34" s="643" t="e">
        <f t="shared" si="6"/>
        <v>#DIV/0!</v>
      </c>
      <c r="AZ34" s="633">
        <f>'29'!E24</f>
        <v>0</v>
      </c>
      <c r="BA34" s="633">
        <f>'29'!F24</f>
        <v>0</v>
      </c>
      <c r="BB34" s="643" t="e">
        <f t="shared" si="31"/>
        <v>#DIV/0!</v>
      </c>
      <c r="BC34" s="633">
        <f>'29'!E25</f>
        <v>0</v>
      </c>
      <c r="BD34" s="633">
        <f>'29'!F25</f>
        <v>0</v>
      </c>
      <c r="BE34" s="643" t="e">
        <f t="shared" si="32"/>
        <v>#DIV/0!</v>
      </c>
      <c r="BF34" s="633">
        <f>'29'!E26</f>
        <v>0</v>
      </c>
      <c r="BG34" s="633">
        <f>'29'!F26</f>
        <v>0</v>
      </c>
      <c r="BH34" s="643" t="e">
        <f t="shared" si="33"/>
        <v>#DIV/0!</v>
      </c>
      <c r="BI34" s="633">
        <f>'29'!E27</f>
        <v>0</v>
      </c>
      <c r="BJ34" s="633">
        <f>'29'!F27</f>
        <v>0</v>
      </c>
      <c r="BK34" s="643" t="e">
        <f t="shared" si="34"/>
        <v>#DIV/0!</v>
      </c>
      <c r="BL34" s="651">
        <f t="shared" si="35"/>
        <v>0</v>
      </c>
      <c r="BM34" s="652">
        <f t="shared" si="17"/>
        <v>0</v>
      </c>
    </row>
    <row r="35" spans="1:65" ht="23.25">
      <c r="A35" s="553">
        <v>46264</v>
      </c>
      <c r="B35" s="554">
        <f>'30'!C4</f>
        <v>0</v>
      </c>
      <c r="C35" s="555">
        <f>'30'!D4</f>
        <v>0</v>
      </c>
      <c r="D35" s="555">
        <f>'30'!E4</f>
        <v>0</v>
      </c>
      <c r="E35" s="556">
        <f>'30'!F4</f>
        <v>0</v>
      </c>
      <c r="F35" s="559">
        <f t="shared" si="28"/>
        <v>0</v>
      </c>
      <c r="G35" s="554">
        <f>'30'!E6</f>
        <v>0</v>
      </c>
      <c r="H35" s="558">
        <f>'30'!F6</f>
        <v>0</v>
      </c>
      <c r="I35" s="581" t="e">
        <f t="shared" si="13"/>
        <v>#DIV/0!</v>
      </c>
      <c r="J35" s="582">
        <f>'30'!E7</f>
        <v>0</v>
      </c>
      <c r="K35" s="583">
        <f>'30'!F7</f>
        <v>0</v>
      </c>
      <c r="L35" s="581" t="e">
        <f t="shared" si="14"/>
        <v>#DIV/0!</v>
      </c>
      <c r="M35" s="584">
        <f>'30'!E8</f>
        <v>0</v>
      </c>
      <c r="N35" s="585">
        <f>'30'!F8</f>
        <v>0</v>
      </c>
      <c r="O35" s="599" t="e">
        <f t="shared" si="29"/>
        <v>#DIV/0!</v>
      </c>
      <c r="P35" s="585">
        <f>'30'!E9</f>
        <v>0</v>
      </c>
      <c r="Q35" s="603">
        <f>'30'!F9</f>
        <v>0</v>
      </c>
      <c r="R35" s="581" t="e">
        <f t="shared" si="19"/>
        <v>#DIV/0!</v>
      </c>
      <c r="S35" s="585">
        <f>'30'!E10</f>
        <v>0</v>
      </c>
      <c r="T35" s="603">
        <f>'30'!F10</f>
        <v>0</v>
      </c>
      <c r="U35" s="605" t="e">
        <f t="shared" si="15"/>
        <v>#DIV/0!</v>
      </c>
      <c r="V35" s="584">
        <f>'30'!E12</f>
        <v>0</v>
      </c>
      <c r="W35" s="613">
        <f>'30'!F12</f>
        <v>0</v>
      </c>
      <c r="X35" s="569" t="e">
        <f t="shared" si="0"/>
        <v>#DIV/0!</v>
      </c>
      <c r="Y35" s="604">
        <f>'30'!E13</f>
        <v>0</v>
      </c>
      <c r="Z35" s="613">
        <f>'30'!F13</f>
        <v>0</v>
      </c>
      <c r="AA35" s="622" t="e">
        <f t="shared" si="1"/>
        <v>#DIV/0!</v>
      </c>
      <c r="AB35" s="615">
        <f>'30'!E14</f>
        <v>0</v>
      </c>
      <c r="AC35" s="616">
        <f>'30'!F14</f>
        <v>0</v>
      </c>
      <c r="AD35" s="581" t="e">
        <f t="shared" si="16"/>
        <v>#DIV/0!</v>
      </c>
      <c r="AE35" s="604">
        <f>'30'!E15</f>
        <v>0</v>
      </c>
      <c r="AF35" s="613">
        <f>'30'!F15</f>
        <v>0</v>
      </c>
      <c r="AG35" s="569" t="e">
        <f t="shared" si="20"/>
        <v>#DIV/0!</v>
      </c>
      <c r="AH35" s="604">
        <f>'30'!E16</f>
        <v>0</v>
      </c>
      <c r="AI35" s="613">
        <f>'30'!F16</f>
        <v>0</v>
      </c>
      <c r="AJ35" s="569" t="e">
        <f t="shared" si="2"/>
        <v>#DIV/0!</v>
      </c>
      <c r="AK35" s="629">
        <f>'30'!E17</f>
        <v>0</v>
      </c>
      <c r="AL35" s="632">
        <f>'30'!E18</f>
        <v>0</v>
      </c>
      <c r="AM35" s="604">
        <f>'30'!E19</f>
        <v>0</v>
      </c>
      <c r="AN35" s="613">
        <f>'30'!F19</f>
        <v>0</v>
      </c>
      <c r="AO35" s="646" t="e">
        <f t="shared" si="3"/>
        <v>#DIV/0!</v>
      </c>
      <c r="AP35" s="633">
        <f>'30'!E20</f>
        <v>0</v>
      </c>
      <c r="AQ35" s="633">
        <f>'30'!F20</f>
        <v>0</v>
      </c>
      <c r="AR35" s="638" t="e">
        <f t="shared" si="30"/>
        <v>#DIV/0!</v>
      </c>
      <c r="AS35" s="636">
        <f>'30'!E21</f>
        <v>0</v>
      </c>
      <c r="AT35" s="633">
        <f>'30'!E22</f>
        <v>0</v>
      </c>
      <c r="AU35" s="633">
        <f>'30'!F22</f>
        <v>0</v>
      </c>
      <c r="AV35" s="650" t="e">
        <f t="shared" si="5"/>
        <v>#DIV/0!</v>
      </c>
      <c r="AW35" s="633">
        <f>'30'!E23</f>
        <v>0</v>
      </c>
      <c r="AX35" s="633">
        <f>'30'!F23</f>
        <v>0</v>
      </c>
      <c r="AY35" s="643" t="e">
        <f t="shared" si="6"/>
        <v>#DIV/0!</v>
      </c>
      <c r="AZ35" s="633">
        <f>'30'!E24</f>
        <v>0</v>
      </c>
      <c r="BA35" s="633">
        <f>'30'!F24</f>
        <v>0</v>
      </c>
      <c r="BB35" s="643" t="e">
        <f t="shared" si="31"/>
        <v>#DIV/0!</v>
      </c>
      <c r="BC35" s="633">
        <f>'30'!E25</f>
        <v>0</v>
      </c>
      <c r="BD35" s="633">
        <f>'30'!F25</f>
        <v>0</v>
      </c>
      <c r="BE35" s="643" t="e">
        <f t="shared" si="32"/>
        <v>#DIV/0!</v>
      </c>
      <c r="BF35" s="633">
        <f>'30'!E26</f>
        <v>0</v>
      </c>
      <c r="BG35" s="633">
        <f>'30'!F26</f>
        <v>0</v>
      </c>
      <c r="BH35" s="643" t="e">
        <f t="shared" si="33"/>
        <v>#DIV/0!</v>
      </c>
      <c r="BI35" s="633">
        <f>'30'!E27</f>
        <v>0</v>
      </c>
      <c r="BJ35" s="633">
        <f>'30'!F27</f>
        <v>0</v>
      </c>
      <c r="BK35" s="643" t="e">
        <f t="shared" si="34"/>
        <v>#DIV/0!</v>
      </c>
      <c r="BL35" s="651" t="e">
        <f>G35+J35+M35+P35+S35+#REF!+V35+Y35</f>
        <v>#REF!</v>
      </c>
      <c r="BM35" s="652" t="e">
        <f t="shared" si="17"/>
        <v>#REF!</v>
      </c>
    </row>
    <row r="36" spans="1:65" ht="23.25">
      <c r="A36" s="553">
        <v>46265</v>
      </c>
      <c r="B36" s="570">
        <f>'31'!C4</f>
        <v>0</v>
      </c>
      <c r="C36" s="571">
        <f>'31'!D4</f>
        <v>0</v>
      </c>
      <c r="D36" s="571">
        <f>'31'!E4</f>
        <v>0</v>
      </c>
      <c r="E36" s="572">
        <f>'31'!F4</f>
        <v>0</v>
      </c>
      <c r="F36" s="573">
        <f t="shared" si="28"/>
        <v>0</v>
      </c>
      <c r="G36" s="570">
        <f>'31'!E6</f>
        <v>0</v>
      </c>
      <c r="H36" s="561">
        <f>'31'!F6</f>
        <v>0</v>
      </c>
      <c r="I36" s="581" t="e">
        <f t="shared" si="13"/>
        <v>#DIV/0!</v>
      </c>
      <c r="J36" s="600">
        <f>'31'!E7</f>
        <v>0</v>
      </c>
      <c r="K36" s="601">
        <f>'31'!F7</f>
        <v>0</v>
      </c>
      <c r="L36" s="581" t="e">
        <f t="shared" si="14"/>
        <v>#DIV/0!</v>
      </c>
      <c r="M36" s="589">
        <f>'31'!E8</f>
        <v>0</v>
      </c>
      <c r="N36" s="590">
        <f>'31'!F8</f>
        <v>0</v>
      </c>
      <c r="O36" s="602" t="e">
        <f t="shared" si="29"/>
        <v>#DIV/0!</v>
      </c>
      <c r="P36" s="590">
        <f>'31'!E9</f>
        <v>0</v>
      </c>
      <c r="Q36" s="606">
        <f>'31'!F9</f>
        <v>0</v>
      </c>
      <c r="R36" s="611" t="e">
        <f t="shared" si="19"/>
        <v>#DIV/0!</v>
      </c>
      <c r="S36" s="590">
        <f>'31'!E10</f>
        <v>0</v>
      </c>
      <c r="T36" s="606">
        <f>'31'!F10</f>
        <v>0</v>
      </c>
      <c r="U36" s="612" t="e">
        <f t="shared" si="15"/>
        <v>#DIV/0!</v>
      </c>
      <c r="V36" s="589">
        <f>'31'!E11</f>
        <v>0</v>
      </c>
      <c r="W36" s="618">
        <f>'31'!F11</f>
        <v>0</v>
      </c>
      <c r="X36" s="623" t="e">
        <f t="shared" si="0"/>
        <v>#DIV/0!</v>
      </c>
      <c r="Y36" s="608">
        <f>'31'!E12</f>
        <v>0</v>
      </c>
      <c r="Z36" s="618">
        <f>'31'!F12</f>
        <v>0</v>
      </c>
      <c r="AA36" s="624" t="e">
        <f t="shared" si="1"/>
        <v>#DIV/0!</v>
      </c>
      <c r="AB36" s="615">
        <f>'31'!E13</f>
        <v>0</v>
      </c>
      <c r="AC36" s="616">
        <f>'31'!F13</f>
        <v>0</v>
      </c>
      <c r="AD36" s="581" t="e">
        <f t="shared" si="16"/>
        <v>#DIV/0!</v>
      </c>
      <c r="AE36" s="608">
        <f>'31'!E14</f>
        <v>0</v>
      </c>
      <c r="AF36" s="618">
        <f>'31'!F14</f>
        <v>0</v>
      </c>
      <c r="AG36" s="623" t="e">
        <f t="shared" si="20"/>
        <v>#DIV/0!</v>
      </c>
      <c r="AH36" s="608">
        <f>'31'!E15</f>
        <v>0</v>
      </c>
      <c r="AI36" s="618">
        <f>'31'!F15</f>
        <v>0</v>
      </c>
      <c r="AJ36" s="623" t="e">
        <f t="shared" si="2"/>
        <v>#DIV/0!</v>
      </c>
      <c r="AK36" s="629">
        <f>'31'!E16</f>
        <v>0</v>
      </c>
      <c r="AL36" s="632">
        <f>'31'!E17</f>
        <v>0</v>
      </c>
      <c r="AM36" s="608">
        <f>'31'!E18</f>
        <v>0</v>
      </c>
      <c r="AN36" s="618">
        <f>'31'!F18</f>
        <v>0</v>
      </c>
      <c r="AO36" s="647" t="e">
        <f t="shared" si="3"/>
        <v>#DIV/0!</v>
      </c>
      <c r="AP36" s="639">
        <f>'31'!E19</f>
        <v>0</v>
      </c>
      <c r="AQ36" s="639">
        <f>'31'!F19</f>
        <v>0</v>
      </c>
      <c r="AR36" s="648" t="e">
        <f t="shared" si="30"/>
        <v>#DIV/0!</v>
      </c>
      <c r="AS36" s="642">
        <f>'31'!E20</f>
        <v>0</v>
      </c>
      <c r="AT36" s="639">
        <f>'31'!E21</f>
        <v>0</v>
      </c>
      <c r="AU36" s="639">
        <f>'31'!F21</f>
        <v>0</v>
      </c>
      <c r="AV36" s="650" t="e">
        <f t="shared" si="5"/>
        <v>#DIV/0!</v>
      </c>
      <c r="AW36" s="639">
        <f>'31'!E22</f>
        <v>0</v>
      </c>
      <c r="AX36" s="639">
        <f>'31'!F22</f>
        <v>0</v>
      </c>
      <c r="AY36" s="643" t="e">
        <f t="shared" si="6"/>
        <v>#DIV/0!</v>
      </c>
      <c r="AZ36" s="639">
        <f>'31'!E23</f>
        <v>0</v>
      </c>
      <c r="BA36" s="639">
        <f>'31'!F23</f>
        <v>0</v>
      </c>
      <c r="BB36" s="643" t="e">
        <f t="shared" si="31"/>
        <v>#DIV/0!</v>
      </c>
      <c r="BC36" s="639">
        <f>'31'!E24</f>
        <v>0</v>
      </c>
      <c r="BD36" s="639">
        <f>'31'!F24</f>
        <v>0</v>
      </c>
      <c r="BE36" s="643" t="e">
        <f t="shared" si="32"/>
        <v>#DIV/0!</v>
      </c>
      <c r="BF36" s="639">
        <f>'31'!E25</f>
        <v>0</v>
      </c>
      <c r="BG36" s="639">
        <f>'31'!F25</f>
        <v>0</v>
      </c>
      <c r="BH36" s="643" t="e">
        <f t="shared" si="33"/>
        <v>#DIV/0!</v>
      </c>
      <c r="BI36" s="639">
        <f>'31'!E26</f>
        <v>0</v>
      </c>
      <c r="BJ36" s="639">
        <f>'31'!F26</f>
        <v>0</v>
      </c>
      <c r="BK36" s="643" t="e">
        <f t="shared" si="34"/>
        <v>#DIV/0!</v>
      </c>
      <c r="BL36" s="651" t="e">
        <f>G36+J36+M36+P36+S36+#REF!+V36+Y36</f>
        <v>#REF!</v>
      </c>
      <c r="BM36" s="652" t="e">
        <f t="shared" si="17"/>
        <v>#REF!</v>
      </c>
    </row>
    <row r="37" spans="1:65" ht="23.25">
      <c r="A37" s="562" t="s">
        <v>25</v>
      </c>
      <c r="B37" s="563">
        <f t="shared" ref="B37:H37" si="36">SUM(B21:B36)</f>
        <v>115.5</v>
      </c>
      <c r="C37" s="564">
        <f t="shared" si="36"/>
        <v>4.5</v>
      </c>
      <c r="D37" s="564">
        <f t="shared" si="36"/>
        <v>0</v>
      </c>
      <c r="E37" s="565">
        <f t="shared" si="36"/>
        <v>0</v>
      </c>
      <c r="F37" s="574">
        <f t="shared" si="36"/>
        <v>120</v>
      </c>
      <c r="G37" s="563">
        <f t="shared" si="36"/>
        <v>1092</v>
      </c>
      <c r="H37" s="564">
        <f t="shared" si="36"/>
        <v>118.5</v>
      </c>
      <c r="I37" s="574">
        <f t="shared" si="13"/>
        <v>9.2151898734177209</v>
      </c>
      <c r="J37" s="564">
        <f>SUM(J21:J36)</f>
        <v>301</v>
      </c>
      <c r="K37" s="565">
        <f>SUM(K21:K36)</f>
        <v>15.5</v>
      </c>
      <c r="L37" s="574">
        <f t="shared" si="14"/>
        <v>19.419354838709676</v>
      </c>
      <c r="M37" s="563">
        <f>SUM(M21:M36)</f>
        <v>538</v>
      </c>
      <c r="N37" s="565">
        <f>SUM(N21:N36)</f>
        <v>80</v>
      </c>
      <c r="O37" s="574">
        <f t="shared" si="29"/>
        <v>6.7249999999999996</v>
      </c>
      <c r="P37" s="563">
        <f>SUM(P21:P36)</f>
        <v>247</v>
      </c>
      <c r="Q37" s="565">
        <f>SUM(Q21:Q36)</f>
        <v>40</v>
      </c>
      <c r="R37" s="574">
        <f>P37/Q37</f>
        <v>6.1749999999999998</v>
      </c>
      <c r="S37" s="563">
        <f>SUM(S21:S36)</f>
        <v>0</v>
      </c>
      <c r="T37" s="565">
        <f>SUM(T21:T36)</f>
        <v>0</v>
      </c>
      <c r="U37" s="574" t="e">
        <f>S37/T37</f>
        <v>#DIV/0!</v>
      </c>
      <c r="V37" s="563">
        <f>SUM(V21:V36)</f>
        <v>0</v>
      </c>
      <c r="W37" s="565">
        <f>SUM(W21:W36)</f>
        <v>0</v>
      </c>
      <c r="X37" s="574" t="e">
        <f t="shared" si="0"/>
        <v>#DIV/0!</v>
      </c>
      <c r="Y37" s="563">
        <f>SUM(Y21:Y36)</f>
        <v>9</v>
      </c>
      <c r="Z37" s="565">
        <f>SUM(Z21:Z36)</f>
        <v>3</v>
      </c>
      <c r="AA37" s="574">
        <f t="shared" si="1"/>
        <v>3</v>
      </c>
      <c r="AB37" s="592">
        <f>AB21+AB22+AB23+AB24+AB25+AB26+AB27+AB28+AB29+AB30+AB31+AB32+AB33+AB34+AB35+AB36</f>
        <v>0</v>
      </c>
      <c r="AC37" s="592">
        <f>AC21+AC22+AC23+AC24+AC25+AC26+AC27+AC28+AC29+AC30+AC31+AC32+AC33+AC34+AC35+AC36</f>
        <v>0</v>
      </c>
      <c r="AD37" s="574" t="e">
        <f t="shared" si="16"/>
        <v>#DIV/0!</v>
      </c>
      <c r="AE37" s="563">
        <f>SUM(AE21:AE36)</f>
        <v>0</v>
      </c>
      <c r="AF37" s="565">
        <f>SUM(AF21:AF36)</f>
        <v>0</v>
      </c>
      <c r="AG37" s="574" t="e">
        <f t="shared" si="20"/>
        <v>#DIV/0!</v>
      </c>
      <c r="AH37" s="563">
        <f>SUM(AH21:AH36)</f>
        <v>0</v>
      </c>
      <c r="AI37" s="565">
        <f>SUM(AI21:AI36)</f>
        <v>0</v>
      </c>
      <c r="AJ37" s="574" t="e">
        <f t="shared" si="2"/>
        <v>#DIV/0!</v>
      </c>
      <c r="AK37" s="563">
        <f>SUM(AK21:AK36)</f>
        <v>25</v>
      </c>
      <c r="AL37" s="563">
        <f>SUM(AL21:AL36)</f>
        <v>0</v>
      </c>
      <c r="AM37" s="563">
        <f>SUM(AM21:AM36)</f>
        <v>0</v>
      </c>
      <c r="AN37" s="565">
        <f>SUM(AN21:AN36)</f>
        <v>0</v>
      </c>
      <c r="AO37" s="574" t="e">
        <f t="shared" si="3"/>
        <v>#DIV/0!</v>
      </c>
      <c r="AP37" s="563">
        <f>SUM(AP21:AP36)</f>
        <v>0</v>
      </c>
      <c r="AQ37" s="565">
        <f>SUM(AQ21:AQ36)</f>
        <v>0</v>
      </c>
      <c r="AR37" s="568" t="e">
        <f t="shared" si="30"/>
        <v>#DIV/0!</v>
      </c>
      <c r="AS37" s="574">
        <f>SUM(AS21:AS36)</f>
        <v>0</v>
      </c>
      <c r="AT37" s="564">
        <f>SUM(AT21:AT36)</f>
        <v>0</v>
      </c>
      <c r="AU37" s="564">
        <f>SUM(AU21:AU36)</f>
        <v>0</v>
      </c>
      <c r="AV37" s="574" t="e">
        <f t="shared" si="5"/>
        <v>#DIV/0!</v>
      </c>
      <c r="AW37" s="564">
        <f>SUM(AW21:AW36)</f>
        <v>0</v>
      </c>
      <c r="AX37" s="564">
        <f>SUM(AX21:AX36)</f>
        <v>0</v>
      </c>
      <c r="AY37" s="574" t="e">
        <f t="shared" si="6"/>
        <v>#DIV/0!</v>
      </c>
      <c r="AZ37" s="564">
        <f>SUM(AZ21:AZ36)</f>
        <v>0</v>
      </c>
      <c r="BA37" s="564">
        <f>SUM(BA21:BA36)</f>
        <v>0</v>
      </c>
      <c r="BB37" s="574" t="e">
        <f t="shared" si="31"/>
        <v>#DIV/0!</v>
      </c>
      <c r="BC37" s="564">
        <f>SUM(BC21:BC36)</f>
        <v>0</v>
      </c>
      <c r="BD37" s="564">
        <f>SUM(BD21:BD36)</f>
        <v>0</v>
      </c>
      <c r="BE37" s="574" t="e">
        <f t="shared" si="32"/>
        <v>#DIV/0!</v>
      </c>
      <c r="BF37" s="564">
        <f>SUM(BF21:BF36)</f>
        <v>0</v>
      </c>
      <c r="BG37" s="564">
        <f>SUM(BG21:BG36)</f>
        <v>0</v>
      </c>
      <c r="BH37" s="574" t="e">
        <f t="shared" si="33"/>
        <v>#DIV/0!</v>
      </c>
      <c r="BI37" s="564">
        <f>SUM(BI21:BI36)</f>
        <v>0</v>
      </c>
      <c r="BJ37" s="564">
        <f>SUM(BJ21:BJ36)</f>
        <v>0</v>
      </c>
      <c r="BK37" s="574" t="e">
        <f t="shared" si="34"/>
        <v>#DIV/0!</v>
      </c>
      <c r="BL37" s="574" t="e">
        <f>BL21+BL22+BL23+BL24+BL25+BL26+BL27+BL28+BL29+BL30+BL31+BL32+BL33+BL34+BL35+BL36</f>
        <v>#REF!</v>
      </c>
      <c r="BM37" s="574" t="e">
        <f>BM21+BM22+BM23+BM24+BM25+BM26+BM27+BM28+BM29+BM30+BM31+BM32+BM33+BM34+BM35+BM36</f>
        <v>#REF!</v>
      </c>
    </row>
    <row r="38" spans="1:65" s="546" customFormat="1" ht="46.5">
      <c r="A38" s="575" t="s">
        <v>26</v>
      </c>
      <c r="B38" s="576">
        <f t="shared" ref="B38:H38" si="37">SUM(B37,B20)</f>
        <v>308.5</v>
      </c>
      <c r="C38" s="577">
        <f t="shared" si="37"/>
        <v>57.5</v>
      </c>
      <c r="D38" s="577">
        <f t="shared" si="37"/>
        <v>107</v>
      </c>
      <c r="E38" s="578">
        <f t="shared" si="37"/>
        <v>0</v>
      </c>
      <c r="F38" s="579">
        <f t="shared" si="37"/>
        <v>473</v>
      </c>
      <c r="G38" s="576">
        <f t="shared" si="37"/>
        <v>2792</v>
      </c>
      <c r="H38" s="577">
        <f t="shared" si="37"/>
        <v>349.1</v>
      </c>
      <c r="I38" s="579">
        <f t="shared" si="13"/>
        <v>7.9977083930105985</v>
      </c>
      <c r="J38" s="577">
        <f>SUM(J37,J20)</f>
        <v>1404</v>
      </c>
      <c r="K38" s="578">
        <f>SUM(K37,K20)</f>
        <v>78</v>
      </c>
      <c r="L38" s="579">
        <f t="shared" si="14"/>
        <v>18</v>
      </c>
      <c r="M38" s="576">
        <f>SUM(M37,M20)</f>
        <v>1504</v>
      </c>
      <c r="N38" s="578">
        <f>SUM(N37,N20)</f>
        <v>236</v>
      </c>
      <c r="O38" s="579">
        <f t="shared" si="29"/>
        <v>6.3728813559322033</v>
      </c>
      <c r="P38" s="576">
        <f>SUM(P37,P20)</f>
        <v>1496</v>
      </c>
      <c r="Q38" s="578">
        <f>SUM(Q37,Q20)</f>
        <v>244</v>
      </c>
      <c r="R38" s="579">
        <f>P38/Q38</f>
        <v>6.1311475409836067</v>
      </c>
      <c r="S38" s="576">
        <f>SUM(S37,S20)</f>
        <v>0</v>
      </c>
      <c r="T38" s="578">
        <f>SUM(T37,T20)</f>
        <v>0</v>
      </c>
      <c r="U38" s="579" t="e">
        <f>S38/T38</f>
        <v>#DIV/0!</v>
      </c>
      <c r="V38" s="576">
        <f>SUM(V37,V20)</f>
        <v>0</v>
      </c>
      <c r="W38" s="578">
        <f>SUM(W37,W20)</f>
        <v>0</v>
      </c>
      <c r="X38" s="579" t="e">
        <f t="shared" si="0"/>
        <v>#DIV/0!</v>
      </c>
      <c r="Y38" s="579">
        <f>SUM(Y37,Y20)</f>
        <v>24</v>
      </c>
      <c r="Z38" s="625">
        <f>SUM(Z37,Z20)</f>
        <v>8</v>
      </c>
      <c r="AA38" s="626">
        <f t="shared" si="1"/>
        <v>3</v>
      </c>
      <c r="AB38" s="627">
        <f>AB20+AB37</f>
        <v>0</v>
      </c>
      <c r="AC38" s="627">
        <f>AC20+AC37</f>
        <v>0</v>
      </c>
      <c r="AD38" s="630" t="e">
        <f t="shared" si="16"/>
        <v>#DIV/0!</v>
      </c>
      <c r="AE38" s="576">
        <f>SUM(AE37,AE20)</f>
        <v>0</v>
      </c>
      <c r="AF38" s="578">
        <f>SUM(AF37,AF20)</f>
        <v>0</v>
      </c>
      <c r="AG38" s="579" t="e">
        <f t="shared" si="20"/>
        <v>#DIV/0!</v>
      </c>
      <c r="AH38" s="576">
        <f>SUM(AH37,AH20)</f>
        <v>0</v>
      </c>
      <c r="AI38" s="578">
        <f>SUM(AI37,AI20)</f>
        <v>0</v>
      </c>
      <c r="AJ38" s="579" t="e">
        <f t="shared" si="2"/>
        <v>#DIV/0!</v>
      </c>
      <c r="AK38" s="576">
        <f>SUM(AK37,AK20)</f>
        <v>35</v>
      </c>
      <c r="AL38" s="576">
        <f>SUM(AL37,AL20)</f>
        <v>0</v>
      </c>
      <c r="AM38" s="576">
        <f>SUM(AM37,AM20)</f>
        <v>0</v>
      </c>
      <c r="AN38" s="578">
        <f>SUM(AN37,AN20)</f>
        <v>0</v>
      </c>
      <c r="AO38" s="579" t="e">
        <f t="shared" si="3"/>
        <v>#DIV/0!</v>
      </c>
      <c r="AP38" s="576">
        <f>SUM(AP37,AP20)</f>
        <v>0</v>
      </c>
      <c r="AQ38" s="578">
        <f>SUM(AQ37,AQ20)</f>
        <v>0</v>
      </c>
      <c r="AR38" s="626" t="e">
        <f t="shared" si="30"/>
        <v>#DIV/0!</v>
      </c>
      <c r="AS38" s="630">
        <f t="shared" ref="AS38:BK38" si="38">SUM(AS37,AS20)</f>
        <v>0</v>
      </c>
      <c r="AT38" s="577">
        <f t="shared" si="38"/>
        <v>0</v>
      </c>
      <c r="AU38" s="577">
        <f t="shared" si="38"/>
        <v>0</v>
      </c>
      <c r="AV38" s="577" t="e">
        <f t="shared" si="38"/>
        <v>#DIV/0!</v>
      </c>
      <c r="AW38" s="577">
        <f t="shared" si="38"/>
        <v>0</v>
      </c>
      <c r="AX38" s="577">
        <f t="shared" si="38"/>
        <v>0</v>
      </c>
      <c r="AY38" s="577" t="e">
        <f t="shared" si="38"/>
        <v>#DIV/0!</v>
      </c>
      <c r="AZ38" s="577">
        <f t="shared" si="38"/>
        <v>0</v>
      </c>
      <c r="BA38" s="577">
        <f t="shared" si="38"/>
        <v>0</v>
      </c>
      <c r="BB38" s="577" t="e">
        <f t="shared" si="38"/>
        <v>#DIV/0!</v>
      </c>
      <c r="BC38" s="577">
        <f t="shared" si="38"/>
        <v>0</v>
      </c>
      <c r="BD38" s="577">
        <f t="shared" si="38"/>
        <v>0</v>
      </c>
      <c r="BE38" s="577" t="e">
        <f t="shared" si="38"/>
        <v>#DIV/0!</v>
      </c>
      <c r="BF38" s="577">
        <f t="shared" si="38"/>
        <v>0</v>
      </c>
      <c r="BG38" s="577">
        <f t="shared" si="38"/>
        <v>0</v>
      </c>
      <c r="BH38" s="577" t="e">
        <f t="shared" si="38"/>
        <v>#DIV/0!</v>
      </c>
      <c r="BI38" s="577">
        <f t="shared" si="38"/>
        <v>0</v>
      </c>
      <c r="BJ38" s="577">
        <f t="shared" si="38"/>
        <v>0</v>
      </c>
      <c r="BK38" s="577" t="e">
        <f t="shared" si="38"/>
        <v>#DIV/0!</v>
      </c>
      <c r="BL38" s="579" t="e">
        <f>BL20+BL37</f>
        <v>#REF!</v>
      </c>
      <c r="BM38" s="579" t="e">
        <f>BM20+BM37</f>
        <v>#REF!</v>
      </c>
    </row>
  </sheetData>
  <sheetProtection formatCells="0" formatColumns="0" formatRows="0" insertColumns="0" insertRows="0"/>
  <mergeCells count="26">
    <mergeCell ref="BL3:BM3"/>
    <mergeCell ref="AW3:AY3"/>
    <mergeCell ref="AZ3:BB3"/>
    <mergeCell ref="BC3:BE3"/>
    <mergeCell ref="BF3:BH3"/>
    <mergeCell ref="BI3:BK3"/>
    <mergeCell ref="AE3:AG3"/>
    <mergeCell ref="AH3:AJ3"/>
    <mergeCell ref="AM3:AO3"/>
    <mergeCell ref="AP3:AR3"/>
    <mergeCell ref="AT3:AV3"/>
    <mergeCell ref="S3:U3"/>
    <mergeCell ref="V3:X3"/>
    <mergeCell ref="Y3:AA3"/>
    <mergeCell ref="AB3:AD3"/>
    <mergeCell ref="B3:F3"/>
    <mergeCell ref="G3:I3"/>
    <mergeCell ref="J3:L3"/>
    <mergeCell ref="M3:O3"/>
    <mergeCell ref="P3:R3"/>
    <mergeCell ref="A1:BM1"/>
    <mergeCell ref="A2:B2"/>
    <mergeCell ref="C2:D2"/>
    <mergeCell ref="E2:F2"/>
    <mergeCell ref="G2:H2"/>
    <mergeCell ref="I2:BM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389"/>
  <sheetViews>
    <sheetView workbookViewId="0">
      <pane xSplit="2" ySplit="5" topLeftCell="C117" activePane="bottomRight" state="frozen"/>
      <selection activeCell="G12" sqref="G12"/>
      <selection pane="topRight" activeCell="G12" sqref="G12"/>
      <selection pane="bottomLeft" activeCell="G12" sqref="G12"/>
      <selection pane="bottomRight" activeCell="F120" sqref="F120"/>
    </sheetView>
  </sheetViews>
  <sheetFormatPr defaultColWidth="9" defaultRowHeight="15"/>
  <cols>
    <col min="1" max="1" width="15.42578125" customWidth="1"/>
    <col min="2" max="2" width="16.7109375" bestFit="1" customWidth="1"/>
    <col min="3" max="3" width="11.42578125" customWidth="1"/>
    <col min="4" max="4" width="11" customWidth="1"/>
    <col min="5" max="5" width="16.28515625" customWidth="1"/>
    <col min="6" max="6" width="15.42578125" customWidth="1"/>
    <col min="7" max="7" width="30.85546875" customWidth="1"/>
    <col min="8" max="8" width="13.85546875" customWidth="1"/>
    <col min="9" max="9" width="12.85546875" customWidth="1"/>
    <col min="10" max="10" width="11" customWidth="1"/>
    <col min="11" max="11" width="12.7109375" customWidth="1"/>
    <col min="12" max="12" width="13.5703125" customWidth="1"/>
    <col min="13" max="13" width="14.42578125" customWidth="1"/>
    <col min="14" max="14" width="10.85546875" bestFit="1" customWidth="1"/>
    <col min="15" max="15" width="10.7109375" bestFit="1" customWidth="1"/>
    <col min="16" max="16" width="13.28515625" customWidth="1"/>
    <col min="17" max="17" width="25.5703125" customWidth="1"/>
  </cols>
  <sheetData>
    <row r="1" spans="1:23" ht="57.75" customHeight="1">
      <c r="A1" s="744" t="s">
        <v>45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</row>
    <row r="2" spans="1:23" ht="42.75" customHeight="1">
      <c r="A2" s="745" t="s">
        <v>46</v>
      </c>
      <c r="B2" s="746"/>
      <c r="C2" s="747" t="s">
        <v>177</v>
      </c>
      <c r="D2" s="748"/>
      <c r="E2" s="745" t="s">
        <v>47</v>
      </c>
      <c r="F2" s="746"/>
      <c r="G2" s="433" t="s">
        <v>240</v>
      </c>
      <c r="H2" s="745" t="s">
        <v>48</v>
      </c>
      <c r="I2" s="749"/>
      <c r="J2" s="746"/>
      <c r="K2" s="750" t="s">
        <v>192</v>
      </c>
      <c r="L2" s="748"/>
      <c r="M2" s="751" t="s">
        <v>49</v>
      </c>
      <c r="N2" s="752"/>
      <c r="O2" s="753"/>
      <c r="P2" s="754">
        <v>46235</v>
      </c>
      <c r="Q2" s="755"/>
    </row>
    <row r="3" spans="1:23" ht="26.25" customHeight="1">
      <c r="A3" s="756" t="s">
        <v>50</v>
      </c>
      <c r="B3" s="757"/>
      <c r="C3" s="757"/>
      <c r="D3" s="757"/>
      <c r="E3" s="757"/>
      <c r="F3" s="757"/>
      <c r="G3" s="757"/>
      <c r="H3" s="757"/>
      <c r="I3" s="757"/>
      <c r="J3" s="757"/>
      <c r="K3" s="757"/>
      <c r="L3" s="757"/>
      <c r="M3" s="757"/>
      <c r="N3" s="757"/>
      <c r="O3" s="757"/>
      <c r="P3" s="757"/>
      <c r="Q3" s="758"/>
    </row>
    <row r="4" spans="1:23" ht="15.75">
      <c r="A4" s="783" t="s">
        <v>51</v>
      </c>
      <c r="B4" s="773" t="s">
        <v>52</v>
      </c>
      <c r="C4" s="773" t="s">
        <v>53</v>
      </c>
      <c r="D4" s="773" t="s">
        <v>54</v>
      </c>
      <c r="E4" s="759" t="s">
        <v>55</v>
      </c>
      <c r="F4" s="760"/>
      <c r="G4" s="773" t="s">
        <v>56</v>
      </c>
      <c r="H4" s="773" t="s">
        <v>57</v>
      </c>
      <c r="I4" s="773" t="s">
        <v>58</v>
      </c>
      <c r="J4" s="776" t="s">
        <v>59</v>
      </c>
      <c r="K4" s="773" t="s">
        <v>60</v>
      </c>
      <c r="L4" s="778" t="s">
        <v>61</v>
      </c>
      <c r="M4" s="773" t="s">
        <v>62</v>
      </c>
      <c r="N4" s="761" t="s">
        <v>63</v>
      </c>
      <c r="O4" s="762"/>
      <c r="P4" s="763"/>
      <c r="Q4" s="773" t="s">
        <v>64</v>
      </c>
    </row>
    <row r="5" spans="1:23" ht="45.75" customHeight="1">
      <c r="A5" s="784"/>
      <c r="B5" s="774"/>
      <c r="C5" s="774"/>
      <c r="D5" s="774"/>
      <c r="E5" s="434" t="s">
        <v>65</v>
      </c>
      <c r="F5" s="434" t="s">
        <v>66</v>
      </c>
      <c r="G5" s="774"/>
      <c r="H5" s="775"/>
      <c r="I5" s="774"/>
      <c r="J5" s="777"/>
      <c r="K5" s="774"/>
      <c r="L5" s="779"/>
      <c r="M5" s="774"/>
      <c r="N5" s="456" t="s">
        <v>52</v>
      </c>
      <c r="O5" s="434" t="s">
        <v>67</v>
      </c>
      <c r="P5" s="434" t="s">
        <v>68</v>
      </c>
      <c r="Q5" s="774"/>
    </row>
    <row r="6" spans="1:23" ht="18" customHeight="1" thickBot="1">
      <c r="A6" s="785" t="s">
        <v>69</v>
      </c>
      <c r="B6" s="705">
        <v>46235</v>
      </c>
      <c r="C6" s="435">
        <f>'1'!B35</f>
        <v>107</v>
      </c>
      <c r="D6" s="436">
        <f>'1'!C35</f>
        <v>0</v>
      </c>
      <c r="E6" s="437"/>
      <c r="F6" s="437"/>
      <c r="G6" s="669"/>
      <c r="H6" s="438">
        <f>SUM(E6,F6)</f>
        <v>0</v>
      </c>
      <c r="I6" s="457">
        <f>SUM(C6,D6-H6)</f>
        <v>107</v>
      </c>
      <c r="J6" s="458">
        <v>0</v>
      </c>
      <c r="K6" s="459"/>
      <c r="L6" s="369"/>
      <c r="M6" s="369"/>
      <c r="N6" s="460"/>
      <c r="O6" s="369"/>
      <c r="P6" s="461"/>
      <c r="Q6" s="479">
        <f>SUM(J6+K6-L6-M6)</f>
        <v>0</v>
      </c>
      <c r="R6" s="764"/>
      <c r="S6" s="765"/>
      <c r="T6" s="765"/>
      <c r="U6" s="765"/>
      <c r="V6" s="765"/>
      <c r="W6" s="765"/>
    </row>
    <row r="7" spans="1:23" ht="18.75" customHeight="1" thickBot="1">
      <c r="A7" s="786"/>
      <c r="B7" s="705">
        <v>46236</v>
      </c>
      <c r="C7" s="439">
        <f>I6</f>
        <v>107</v>
      </c>
      <c r="D7" s="440">
        <f>'2'!C35</f>
        <v>0</v>
      </c>
      <c r="E7" s="375"/>
      <c r="F7" s="437"/>
      <c r="G7" s="669"/>
      <c r="H7" s="442">
        <f t="shared" ref="H7:H36" si="0">SUM(E7,F7)</f>
        <v>0</v>
      </c>
      <c r="I7" s="462">
        <f t="shared" ref="I7:I36" si="1">SUM(C7,D7-H7)</f>
        <v>107</v>
      </c>
      <c r="J7" s="453">
        <f>Q6</f>
        <v>0</v>
      </c>
      <c r="K7" s="463"/>
      <c r="L7" s="375"/>
      <c r="M7" s="375"/>
      <c r="N7" s="464"/>
      <c r="O7" s="375"/>
      <c r="P7" s="443"/>
      <c r="Q7" s="479">
        <f t="shared" ref="Q7:Q36" si="2">SUM(J7+K7-L7-M7)</f>
        <v>0</v>
      </c>
    </row>
    <row r="8" spans="1:23" s="405" customFormat="1" ht="32.25" thickBot="1">
      <c r="A8" s="786"/>
      <c r="B8" s="705">
        <v>46237</v>
      </c>
      <c r="C8" s="439">
        <f t="shared" ref="C8:C36" si="3">I7</f>
        <v>107</v>
      </c>
      <c r="D8" s="440">
        <f>'3'!C35</f>
        <v>0</v>
      </c>
      <c r="E8" s="437"/>
      <c r="F8" s="437">
        <v>15</v>
      </c>
      <c r="G8" s="669" t="s">
        <v>237</v>
      </c>
      <c r="H8" s="442">
        <f t="shared" si="0"/>
        <v>15</v>
      </c>
      <c r="I8" s="462">
        <f t="shared" si="1"/>
        <v>92</v>
      </c>
      <c r="J8" s="453">
        <f t="shared" ref="J8:J36" si="4">Q7</f>
        <v>0</v>
      </c>
      <c r="K8" s="463"/>
      <c r="L8" s="375"/>
      <c r="M8" s="375"/>
      <c r="N8" s="465"/>
      <c r="O8" s="375"/>
      <c r="P8" s="443"/>
      <c r="Q8" s="479">
        <f t="shared" si="2"/>
        <v>0</v>
      </c>
      <c r="R8" s="405" t="s">
        <v>70</v>
      </c>
    </row>
    <row r="9" spans="1:23" ht="18.75" thickBot="1">
      <c r="A9" s="786"/>
      <c r="B9" s="705">
        <v>46238</v>
      </c>
      <c r="C9" s="439">
        <f t="shared" si="3"/>
        <v>92</v>
      </c>
      <c r="D9" s="440">
        <f>'4'!C35</f>
        <v>0</v>
      </c>
      <c r="E9" s="437"/>
      <c r="F9" s="437"/>
      <c r="G9" s="676"/>
      <c r="H9" s="442">
        <f t="shared" si="0"/>
        <v>0</v>
      </c>
      <c r="I9" s="462">
        <f t="shared" si="1"/>
        <v>92</v>
      </c>
      <c r="J9" s="453">
        <f t="shared" si="4"/>
        <v>0</v>
      </c>
      <c r="K9" s="463"/>
      <c r="L9" s="375"/>
      <c r="M9" s="466"/>
      <c r="N9" s="464"/>
      <c r="O9" s="375"/>
      <c r="P9" s="443"/>
      <c r="Q9" s="479">
        <f t="shared" si="2"/>
        <v>0</v>
      </c>
    </row>
    <row r="10" spans="1:23" ht="18.75" thickBot="1">
      <c r="A10" s="786"/>
      <c r="B10" s="705">
        <v>46239</v>
      </c>
      <c r="C10" s="439">
        <f t="shared" si="3"/>
        <v>92</v>
      </c>
      <c r="D10" s="440">
        <f>'5'!C36</f>
        <v>0</v>
      </c>
      <c r="E10" s="437"/>
      <c r="F10" s="437"/>
      <c r="G10" s="676"/>
      <c r="H10" s="442">
        <f t="shared" si="0"/>
        <v>0</v>
      </c>
      <c r="I10" s="462">
        <f t="shared" si="1"/>
        <v>92</v>
      </c>
      <c r="J10" s="453">
        <f t="shared" si="4"/>
        <v>0</v>
      </c>
      <c r="K10" s="463"/>
      <c r="L10" s="375"/>
      <c r="M10" s="375"/>
      <c r="N10" s="464"/>
      <c r="O10" s="375"/>
      <c r="P10" s="467"/>
      <c r="Q10" s="479">
        <f t="shared" si="2"/>
        <v>0</v>
      </c>
    </row>
    <row r="11" spans="1:23" ht="18.75" thickBot="1">
      <c r="A11" s="786"/>
      <c r="B11" s="705">
        <v>46240</v>
      </c>
      <c r="C11" s="439">
        <f t="shared" si="3"/>
        <v>92</v>
      </c>
      <c r="D11" s="440">
        <f>'6'!C35</f>
        <v>0</v>
      </c>
      <c r="E11" s="437"/>
      <c r="F11" s="437"/>
      <c r="G11" s="441"/>
      <c r="H11" s="442">
        <f t="shared" si="0"/>
        <v>0</v>
      </c>
      <c r="I11" s="462">
        <f t="shared" si="1"/>
        <v>92</v>
      </c>
      <c r="J11" s="453">
        <f t="shared" si="4"/>
        <v>0</v>
      </c>
      <c r="K11" s="463"/>
      <c r="L11" s="375"/>
      <c r="M11" s="375"/>
      <c r="N11" s="464"/>
      <c r="O11" s="375"/>
      <c r="P11" s="443"/>
      <c r="Q11" s="479">
        <f t="shared" si="2"/>
        <v>0</v>
      </c>
    </row>
    <row r="12" spans="1:23" ht="18.75" thickBot="1">
      <c r="A12" s="786"/>
      <c r="B12" s="705">
        <v>46241</v>
      </c>
      <c r="C12" s="439">
        <f t="shared" si="3"/>
        <v>92</v>
      </c>
      <c r="D12" s="440">
        <f>'7'!C36</f>
        <v>0</v>
      </c>
      <c r="E12" s="437"/>
      <c r="F12" s="437"/>
      <c r="G12" s="441"/>
      <c r="H12" s="442">
        <f t="shared" si="0"/>
        <v>0</v>
      </c>
      <c r="I12" s="462">
        <f t="shared" si="1"/>
        <v>92</v>
      </c>
      <c r="J12" s="453">
        <f t="shared" si="4"/>
        <v>0</v>
      </c>
      <c r="K12" s="463"/>
      <c r="L12" s="375"/>
      <c r="M12" s="375"/>
      <c r="N12" s="464"/>
      <c r="O12" s="375"/>
      <c r="P12" s="443"/>
      <c r="Q12" s="479">
        <f t="shared" si="2"/>
        <v>0</v>
      </c>
    </row>
    <row r="13" spans="1:23" ht="31.5">
      <c r="A13" s="786"/>
      <c r="B13" s="705">
        <v>46242</v>
      </c>
      <c r="C13" s="439">
        <f t="shared" si="3"/>
        <v>92</v>
      </c>
      <c r="D13" s="440">
        <f>'8'!C36</f>
        <v>0</v>
      </c>
      <c r="E13" s="437"/>
      <c r="F13" s="437">
        <v>5</v>
      </c>
      <c r="G13" s="441" t="s">
        <v>238</v>
      </c>
      <c r="H13" s="442">
        <f t="shared" si="0"/>
        <v>5</v>
      </c>
      <c r="I13" s="462">
        <f t="shared" si="1"/>
        <v>87</v>
      </c>
      <c r="J13" s="453">
        <f t="shared" si="4"/>
        <v>0</v>
      </c>
      <c r="K13" s="463"/>
      <c r="L13" s="375"/>
      <c r="M13" s="375"/>
      <c r="N13" s="464"/>
      <c r="O13" s="375"/>
      <c r="P13" s="443"/>
      <c r="Q13" s="479">
        <f t="shared" si="2"/>
        <v>0</v>
      </c>
    </row>
    <row r="14" spans="1:23" ht="18.75" thickBot="1">
      <c r="A14" s="786"/>
      <c r="B14" s="705">
        <v>46243</v>
      </c>
      <c r="C14" s="439">
        <f t="shared" si="3"/>
        <v>87</v>
      </c>
      <c r="D14" s="440">
        <f>'9'!C36</f>
        <v>0</v>
      </c>
      <c r="E14" s="437"/>
      <c r="F14" s="437"/>
      <c r="G14" s="441"/>
      <c r="H14" s="442">
        <f t="shared" si="0"/>
        <v>0</v>
      </c>
      <c r="I14" s="462">
        <f t="shared" si="1"/>
        <v>87</v>
      </c>
      <c r="J14" s="453">
        <f t="shared" si="4"/>
        <v>0</v>
      </c>
      <c r="K14" s="463"/>
      <c r="L14" s="375"/>
      <c r="M14" s="375"/>
      <c r="N14" s="375"/>
      <c r="O14" s="375"/>
      <c r="P14" s="443"/>
      <c r="Q14" s="479">
        <f t="shared" si="2"/>
        <v>0</v>
      </c>
    </row>
    <row r="15" spans="1:23" ht="18.75" thickBot="1">
      <c r="A15" s="786"/>
      <c r="B15" s="705">
        <v>46244</v>
      </c>
      <c r="C15" s="439">
        <f t="shared" si="3"/>
        <v>87</v>
      </c>
      <c r="D15" s="440">
        <f>'10'!C36</f>
        <v>0</v>
      </c>
      <c r="E15" s="437"/>
      <c r="F15" s="437"/>
      <c r="G15" s="706"/>
      <c r="H15" s="442">
        <f t="shared" si="0"/>
        <v>0</v>
      </c>
      <c r="I15" s="462">
        <f t="shared" si="1"/>
        <v>87</v>
      </c>
      <c r="J15" s="453">
        <f t="shared" si="4"/>
        <v>0</v>
      </c>
      <c r="K15" s="463"/>
      <c r="L15" s="375"/>
      <c r="M15" s="466"/>
      <c r="N15" s="464"/>
      <c r="O15" s="375"/>
      <c r="P15" s="443"/>
      <c r="Q15" s="479">
        <f t="shared" si="2"/>
        <v>0</v>
      </c>
    </row>
    <row r="16" spans="1:23" ht="18.75" thickBot="1">
      <c r="A16" s="786"/>
      <c r="B16" s="705">
        <v>46245</v>
      </c>
      <c r="C16" s="439">
        <f t="shared" si="3"/>
        <v>87</v>
      </c>
      <c r="D16" s="440">
        <f>'11'!C36</f>
        <v>0</v>
      </c>
      <c r="E16" s="437"/>
      <c r="F16" s="437"/>
      <c r="G16" s="441"/>
      <c r="H16" s="442">
        <f t="shared" si="0"/>
        <v>0</v>
      </c>
      <c r="I16" s="462">
        <f t="shared" si="1"/>
        <v>87</v>
      </c>
      <c r="J16" s="453">
        <f t="shared" si="4"/>
        <v>0</v>
      </c>
      <c r="K16" s="463"/>
      <c r="L16" s="375"/>
      <c r="M16" s="375"/>
      <c r="N16" s="464"/>
      <c r="O16" s="375"/>
      <c r="P16" s="443"/>
      <c r="Q16" s="479">
        <f t="shared" si="2"/>
        <v>0</v>
      </c>
    </row>
    <row r="17" spans="1:17" ht="18.75" thickBot="1">
      <c r="A17" s="786"/>
      <c r="B17" s="705">
        <v>46246</v>
      </c>
      <c r="C17" s="439">
        <f t="shared" si="3"/>
        <v>87</v>
      </c>
      <c r="D17" s="440">
        <f>'12'!C36</f>
        <v>0</v>
      </c>
      <c r="E17" s="437"/>
      <c r="F17" s="437"/>
      <c r="G17" s="441"/>
      <c r="H17" s="442">
        <f t="shared" si="0"/>
        <v>0</v>
      </c>
      <c r="I17" s="462">
        <f t="shared" si="1"/>
        <v>87</v>
      </c>
      <c r="J17" s="453">
        <f t="shared" si="4"/>
        <v>0</v>
      </c>
      <c r="K17" s="463"/>
      <c r="L17" s="375"/>
      <c r="M17" s="375"/>
      <c r="N17" s="464"/>
      <c r="O17" s="375"/>
      <c r="P17" s="443"/>
      <c r="Q17" s="479">
        <f t="shared" si="2"/>
        <v>0</v>
      </c>
    </row>
    <row r="18" spans="1:17" ht="18.75" thickBot="1">
      <c r="A18" s="786"/>
      <c r="B18" s="705">
        <v>46247</v>
      </c>
      <c r="C18" s="439">
        <f t="shared" si="3"/>
        <v>87</v>
      </c>
      <c r="D18" s="440">
        <f>'13'!C36</f>
        <v>0</v>
      </c>
      <c r="E18" s="437"/>
      <c r="F18" s="437"/>
      <c r="G18" s="441"/>
      <c r="H18" s="442">
        <f t="shared" si="0"/>
        <v>0</v>
      </c>
      <c r="I18" s="462">
        <f t="shared" si="1"/>
        <v>87</v>
      </c>
      <c r="J18" s="453">
        <f t="shared" si="4"/>
        <v>0</v>
      </c>
      <c r="K18" s="463"/>
      <c r="L18" s="375"/>
      <c r="M18" s="375"/>
      <c r="N18" s="464"/>
      <c r="O18" s="375"/>
      <c r="P18" s="443"/>
      <c r="Q18" s="479">
        <f t="shared" si="2"/>
        <v>0</v>
      </c>
    </row>
    <row r="19" spans="1:17" ht="18.75" thickBot="1">
      <c r="A19" s="786"/>
      <c r="B19" s="705">
        <v>46248</v>
      </c>
      <c r="C19" s="439">
        <f t="shared" si="3"/>
        <v>87</v>
      </c>
      <c r="D19" s="440">
        <f>'14'!C36</f>
        <v>0</v>
      </c>
      <c r="E19" s="437"/>
      <c r="F19" s="437">
        <v>25</v>
      </c>
      <c r="G19" s="441" t="s">
        <v>209</v>
      </c>
      <c r="H19" s="442">
        <f t="shared" si="0"/>
        <v>25</v>
      </c>
      <c r="I19" s="462">
        <f t="shared" si="1"/>
        <v>62</v>
      </c>
      <c r="J19" s="453">
        <f t="shared" si="4"/>
        <v>0</v>
      </c>
      <c r="K19" s="463"/>
      <c r="L19" s="375"/>
      <c r="M19" s="375"/>
      <c r="N19" s="464"/>
      <c r="O19" s="375"/>
      <c r="P19" s="443"/>
      <c r="Q19" s="479">
        <f t="shared" si="2"/>
        <v>0</v>
      </c>
    </row>
    <row r="20" spans="1:17" ht="18.75" thickBot="1">
      <c r="A20" s="786"/>
      <c r="B20" s="705">
        <v>46249</v>
      </c>
      <c r="C20" s="439">
        <f t="shared" si="3"/>
        <v>62</v>
      </c>
      <c r="D20" s="440">
        <f>'15'!C36</f>
        <v>0</v>
      </c>
      <c r="E20" s="437"/>
      <c r="F20" s="437"/>
      <c r="G20" s="441"/>
      <c r="H20" s="442">
        <f t="shared" si="0"/>
        <v>0</v>
      </c>
      <c r="I20" s="462">
        <f t="shared" si="1"/>
        <v>62</v>
      </c>
      <c r="J20" s="453">
        <f t="shared" si="4"/>
        <v>0</v>
      </c>
      <c r="K20" s="463"/>
      <c r="L20" s="375"/>
      <c r="M20" s="375"/>
      <c r="N20" s="464"/>
      <c r="O20" s="375"/>
      <c r="P20" s="443"/>
      <c r="Q20" s="479">
        <f t="shared" si="2"/>
        <v>0</v>
      </c>
    </row>
    <row r="21" spans="1:17" ht="18.75" thickBot="1">
      <c r="A21" s="786"/>
      <c r="B21" s="705">
        <v>46250</v>
      </c>
      <c r="C21" s="439">
        <f t="shared" si="3"/>
        <v>62</v>
      </c>
      <c r="D21" s="440">
        <f>'16'!C36</f>
        <v>0</v>
      </c>
      <c r="E21" s="437"/>
      <c r="F21" s="437"/>
      <c r="G21" s="441"/>
      <c r="H21" s="442">
        <f t="shared" si="0"/>
        <v>0</v>
      </c>
      <c r="I21" s="462">
        <f t="shared" si="1"/>
        <v>62</v>
      </c>
      <c r="J21" s="453">
        <f t="shared" si="4"/>
        <v>0</v>
      </c>
      <c r="K21" s="463"/>
      <c r="L21" s="375"/>
      <c r="M21" s="375"/>
      <c r="N21" s="464"/>
      <c r="O21" s="375"/>
      <c r="P21" s="443"/>
      <c r="Q21" s="479">
        <f t="shared" si="2"/>
        <v>0</v>
      </c>
    </row>
    <row r="22" spans="1:17" ht="18.75" thickBot="1">
      <c r="A22" s="786"/>
      <c r="B22" s="705">
        <v>46251</v>
      </c>
      <c r="C22" s="439">
        <f t="shared" si="3"/>
        <v>62</v>
      </c>
      <c r="D22" s="440">
        <f>'17'!C36</f>
        <v>0</v>
      </c>
      <c r="E22" s="437"/>
      <c r="F22" s="437"/>
      <c r="G22" s="441"/>
      <c r="H22" s="442">
        <f t="shared" si="0"/>
        <v>0</v>
      </c>
      <c r="I22" s="462">
        <f t="shared" si="1"/>
        <v>62</v>
      </c>
      <c r="J22" s="453">
        <f t="shared" si="4"/>
        <v>0</v>
      </c>
      <c r="K22" s="463"/>
      <c r="L22" s="375"/>
      <c r="M22" s="375"/>
      <c r="N22" s="464"/>
      <c r="O22" s="375"/>
      <c r="P22" s="443"/>
      <c r="Q22" s="479">
        <f t="shared" si="2"/>
        <v>0</v>
      </c>
    </row>
    <row r="23" spans="1:17" ht="18">
      <c r="A23" s="786"/>
      <c r="B23" s="705">
        <v>46252</v>
      </c>
      <c r="C23" s="439">
        <f t="shared" si="3"/>
        <v>62</v>
      </c>
      <c r="D23" s="440">
        <f>'18'!C36</f>
        <v>0</v>
      </c>
      <c r="E23" s="437"/>
      <c r="F23" s="437"/>
      <c r="G23" s="441"/>
      <c r="H23" s="442">
        <f t="shared" si="0"/>
        <v>0</v>
      </c>
      <c r="I23" s="462">
        <f t="shared" si="1"/>
        <v>62</v>
      </c>
      <c r="J23" s="453">
        <f t="shared" si="4"/>
        <v>0</v>
      </c>
      <c r="K23" s="463"/>
      <c r="L23" s="375"/>
      <c r="M23" s="375"/>
      <c r="N23" s="464"/>
      <c r="O23" s="375"/>
      <c r="P23" s="443"/>
      <c r="Q23" s="479">
        <f t="shared" si="2"/>
        <v>0</v>
      </c>
    </row>
    <row r="24" spans="1:17" ht="18.75" thickBot="1">
      <c r="A24" s="786"/>
      <c r="B24" s="705">
        <v>46253</v>
      </c>
      <c r="C24" s="439">
        <f t="shared" si="3"/>
        <v>62</v>
      </c>
      <c r="D24" s="440">
        <f>'19'!C36</f>
        <v>0</v>
      </c>
      <c r="E24" s="437"/>
      <c r="F24" s="437"/>
      <c r="G24" s="441"/>
      <c r="H24" s="442">
        <f t="shared" si="0"/>
        <v>0</v>
      </c>
      <c r="I24" s="462">
        <f t="shared" si="1"/>
        <v>62</v>
      </c>
      <c r="J24" s="453">
        <f t="shared" si="4"/>
        <v>0</v>
      </c>
      <c r="K24" s="463"/>
      <c r="L24" s="375"/>
      <c r="M24" s="375"/>
      <c r="N24" s="464"/>
      <c r="O24" s="375"/>
      <c r="P24" s="443"/>
      <c r="Q24" s="479">
        <f t="shared" si="2"/>
        <v>0</v>
      </c>
    </row>
    <row r="25" spans="1:17" ht="32.25" thickBot="1">
      <c r="A25" s="786"/>
      <c r="B25" s="705">
        <v>46254</v>
      </c>
      <c r="C25" s="439">
        <f t="shared" si="3"/>
        <v>62</v>
      </c>
      <c r="D25" s="440">
        <f>'20'!C36</f>
        <v>0</v>
      </c>
      <c r="E25" s="437"/>
      <c r="F25" s="437">
        <v>5</v>
      </c>
      <c r="G25" s="441" t="s">
        <v>238</v>
      </c>
      <c r="H25" s="442">
        <f t="shared" si="0"/>
        <v>5</v>
      </c>
      <c r="I25" s="462">
        <f t="shared" si="1"/>
        <v>57</v>
      </c>
      <c r="J25" s="453">
        <f t="shared" si="4"/>
        <v>0</v>
      </c>
      <c r="K25" s="463"/>
      <c r="L25" s="375"/>
      <c r="M25" s="375"/>
      <c r="N25" s="464"/>
      <c r="O25" s="375"/>
      <c r="P25" s="443"/>
      <c r="Q25" s="479">
        <f t="shared" si="2"/>
        <v>0</v>
      </c>
    </row>
    <row r="26" spans="1:17" ht="18.75" thickBot="1">
      <c r="A26" s="786"/>
      <c r="B26" s="705">
        <v>46255</v>
      </c>
      <c r="C26" s="439">
        <f t="shared" si="3"/>
        <v>57</v>
      </c>
      <c r="D26" s="440">
        <f>'21'!C36</f>
        <v>0</v>
      </c>
      <c r="E26" s="437"/>
      <c r="F26" s="437"/>
      <c r="G26" s="441"/>
      <c r="H26" s="442">
        <f t="shared" si="0"/>
        <v>0</v>
      </c>
      <c r="I26" s="462">
        <f t="shared" si="1"/>
        <v>57</v>
      </c>
      <c r="J26" s="453">
        <f t="shared" si="4"/>
        <v>0</v>
      </c>
      <c r="K26" s="463"/>
      <c r="L26" s="375"/>
      <c r="M26" s="375"/>
      <c r="N26" s="375"/>
      <c r="O26" s="375"/>
      <c r="P26" s="443"/>
      <c r="Q26" s="479">
        <f t="shared" si="2"/>
        <v>0</v>
      </c>
    </row>
    <row r="27" spans="1:17" ht="18">
      <c r="A27" s="786"/>
      <c r="B27" s="705">
        <v>46256</v>
      </c>
      <c r="C27" s="439">
        <f t="shared" si="3"/>
        <v>57</v>
      </c>
      <c r="D27" s="440">
        <f>'22'!C36</f>
        <v>0</v>
      </c>
      <c r="E27" s="437"/>
      <c r="F27" s="437"/>
      <c r="G27" s="441"/>
      <c r="H27" s="442">
        <f t="shared" si="0"/>
        <v>0</v>
      </c>
      <c r="I27" s="462">
        <f t="shared" si="1"/>
        <v>57</v>
      </c>
      <c r="J27" s="453">
        <f t="shared" si="4"/>
        <v>0</v>
      </c>
      <c r="K27" s="463"/>
      <c r="L27" s="375"/>
      <c r="M27" s="375"/>
      <c r="N27" s="375"/>
      <c r="O27" s="375"/>
      <c r="P27" s="443"/>
      <c r="Q27" s="479">
        <f t="shared" si="2"/>
        <v>0</v>
      </c>
    </row>
    <row r="28" spans="1:17" ht="18">
      <c r="A28" s="786"/>
      <c r="B28" s="705">
        <v>46257</v>
      </c>
      <c r="C28" s="439">
        <f t="shared" si="3"/>
        <v>57</v>
      </c>
      <c r="D28" s="440">
        <f>'23'!C36</f>
        <v>0</v>
      </c>
      <c r="E28" s="437"/>
      <c r="F28" s="437"/>
      <c r="G28" s="441"/>
      <c r="H28" s="442">
        <f t="shared" si="0"/>
        <v>0</v>
      </c>
      <c r="I28" s="462">
        <f t="shared" si="1"/>
        <v>57</v>
      </c>
      <c r="J28" s="453">
        <f t="shared" si="4"/>
        <v>0</v>
      </c>
      <c r="K28" s="463"/>
      <c r="L28" s="375"/>
      <c r="M28" s="375"/>
      <c r="N28" s="375"/>
      <c r="O28" s="375"/>
      <c r="P28" s="443"/>
      <c r="Q28" s="479">
        <f t="shared" si="2"/>
        <v>0</v>
      </c>
    </row>
    <row r="29" spans="1:17" ht="18.75" thickBot="1">
      <c r="A29" s="786"/>
      <c r="B29" s="705">
        <v>46258</v>
      </c>
      <c r="C29" s="439">
        <f t="shared" si="3"/>
        <v>57</v>
      </c>
      <c r="D29" s="440">
        <f>'24'!C36</f>
        <v>0</v>
      </c>
      <c r="E29" s="437"/>
      <c r="F29" s="437"/>
      <c r="G29" s="441"/>
      <c r="H29" s="442">
        <f t="shared" si="0"/>
        <v>0</v>
      </c>
      <c r="I29" s="462">
        <f t="shared" si="1"/>
        <v>57</v>
      </c>
      <c r="J29" s="453">
        <f t="shared" si="4"/>
        <v>0</v>
      </c>
      <c r="K29" s="463"/>
      <c r="L29" s="375"/>
      <c r="M29" s="375"/>
      <c r="N29" s="375"/>
      <c r="O29" s="375"/>
      <c r="P29" s="443"/>
      <c r="Q29" s="479">
        <f t="shared" si="2"/>
        <v>0</v>
      </c>
    </row>
    <row r="30" spans="1:17" ht="18.75" thickBot="1">
      <c r="A30" s="786"/>
      <c r="B30" s="705">
        <v>46259</v>
      </c>
      <c r="C30" s="439">
        <f t="shared" si="3"/>
        <v>57</v>
      </c>
      <c r="D30" s="440">
        <f>'25'!C36</f>
        <v>0</v>
      </c>
      <c r="E30" s="437"/>
      <c r="F30" s="437"/>
      <c r="G30" s="441"/>
      <c r="H30" s="442">
        <f t="shared" si="0"/>
        <v>0</v>
      </c>
      <c r="I30" s="462">
        <f t="shared" si="1"/>
        <v>57</v>
      </c>
      <c r="J30" s="453">
        <f t="shared" si="4"/>
        <v>0</v>
      </c>
      <c r="K30" s="463"/>
      <c r="L30" s="375"/>
      <c r="M30" s="375"/>
      <c r="N30" s="375"/>
      <c r="O30" s="375"/>
      <c r="P30" s="443"/>
      <c r="Q30" s="479">
        <f t="shared" si="2"/>
        <v>0</v>
      </c>
    </row>
    <row r="31" spans="1:17" ht="18.75" thickBot="1">
      <c r="A31" s="786"/>
      <c r="B31" s="705">
        <v>46260</v>
      </c>
      <c r="C31" s="439">
        <f t="shared" si="3"/>
        <v>57</v>
      </c>
      <c r="D31" s="440">
        <f>'26'!C36</f>
        <v>0</v>
      </c>
      <c r="E31" s="437"/>
      <c r="F31" s="437"/>
      <c r="G31" s="441"/>
      <c r="H31" s="442">
        <f t="shared" si="0"/>
        <v>0</v>
      </c>
      <c r="I31" s="462">
        <f t="shared" si="1"/>
        <v>57</v>
      </c>
      <c r="J31" s="453">
        <f t="shared" si="4"/>
        <v>0</v>
      </c>
      <c r="K31" s="463"/>
      <c r="L31" s="375"/>
      <c r="M31" s="375"/>
      <c r="N31" s="375"/>
      <c r="O31" s="375"/>
      <c r="P31" s="443"/>
      <c r="Q31" s="479">
        <f t="shared" si="2"/>
        <v>0</v>
      </c>
    </row>
    <row r="32" spans="1:17" ht="18">
      <c r="A32" s="786"/>
      <c r="B32" s="705">
        <v>46261</v>
      </c>
      <c r="C32" s="439">
        <f t="shared" si="3"/>
        <v>57</v>
      </c>
      <c r="D32" s="440">
        <f>'27'!C36</f>
        <v>0</v>
      </c>
      <c r="E32" s="437"/>
      <c r="F32" s="437"/>
      <c r="G32" s="443"/>
      <c r="H32" s="442">
        <f t="shared" si="0"/>
        <v>0</v>
      </c>
      <c r="I32" s="462">
        <f t="shared" si="1"/>
        <v>57</v>
      </c>
      <c r="J32" s="453">
        <f t="shared" si="4"/>
        <v>0</v>
      </c>
      <c r="K32" s="463"/>
      <c r="L32" s="375"/>
      <c r="M32" s="375"/>
      <c r="N32" s="375"/>
      <c r="O32" s="375"/>
      <c r="P32" s="443"/>
      <c r="Q32" s="479">
        <f t="shared" si="2"/>
        <v>0</v>
      </c>
    </row>
    <row r="33" spans="1:17" ht="18.75" thickBot="1">
      <c r="A33" s="786"/>
      <c r="B33" s="705">
        <v>46262</v>
      </c>
      <c r="C33" s="439">
        <f t="shared" si="3"/>
        <v>57</v>
      </c>
      <c r="D33" s="440">
        <f>'28'!C36</f>
        <v>0</v>
      </c>
      <c r="E33" s="437"/>
      <c r="F33" s="437"/>
      <c r="G33" s="441"/>
      <c r="H33" s="442">
        <f t="shared" si="0"/>
        <v>0</v>
      </c>
      <c r="I33" s="462">
        <f t="shared" si="1"/>
        <v>57</v>
      </c>
      <c r="J33" s="453">
        <f t="shared" si="4"/>
        <v>0</v>
      </c>
      <c r="K33" s="463"/>
      <c r="L33" s="375"/>
      <c r="M33" s="375"/>
      <c r="N33" s="375"/>
      <c r="O33" s="375"/>
      <c r="P33" s="443"/>
      <c r="Q33" s="479">
        <f t="shared" si="2"/>
        <v>0</v>
      </c>
    </row>
    <row r="34" spans="1:17" ht="18.75" thickBot="1">
      <c r="A34" s="786"/>
      <c r="B34" s="705">
        <v>46263</v>
      </c>
      <c r="C34" s="439">
        <f t="shared" si="3"/>
        <v>57</v>
      </c>
      <c r="D34" s="440">
        <f>'29'!C36</f>
        <v>0</v>
      </c>
      <c r="E34" s="437"/>
      <c r="F34" s="437"/>
      <c r="G34" s="441"/>
      <c r="H34" s="442">
        <f t="shared" si="0"/>
        <v>0</v>
      </c>
      <c r="I34" s="462">
        <f t="shared" si="1"/>
        <v>57</v>
      </c>
      <c r="J34" s="453">
        <f t="shared" si="4"/>
        <v>0</v>
      </c>
      <c r="K34" s="463"/>
      <c r="L34" s="375"/>
      <c r="M34" s="375"/>
      <c r="N34" s="375"/>
      <c r="O34" s="375"/>
      <c r="P34" s="443"/>
      <c r="Q34" s="479">
        <f t="shared" si="2"/>
        <v>0</v>
      </c>
    </row>
    <row r="35" spans="1:17" ht="51.75" customHeight="1" thickBot="1">
      <c r="A35" s="786"/>
      <c r="B35" s="705">
        <v>46264</v>
      </c>
      <c r="C35" s="439">
        <f t="shared" si="3"/>
        <v>57</v>
      </c>
      <c r="D35" s="440">
        <f>'30'!C36</f>
        <v>0</v>
      </c>
      <c r="E35" s="437"/>
      <c r="F35" s="437"/>
      <c r="G35" s="441"/>
      <c r="H35" s="442">
        <f t="shared" si="0"/>
        <v>0</v>
      </c>
      <c r="I35" s="462">
        <f t="shared" si="1"/>
        <v>57</v>
      </c>
      <c r="J35" s="453">
        <f t="shared" si="4"/>
        <v>0</v>
      </c>
      <c r="K35" s="463"/>
      <c r="L35" s="375"/>
      <c r="M35" s="375"/>
      <c r="N35" s="375"/>
      <c r="O35" s="375"/>
      <c r="P35" s="443"/>
      <c r="Q35" s="479">
        <f t="shared" si="2"/>
        <v>0</v>
      </c>
    </row>
    <row r="36" spans="1:17" ht="18.75" thickBot="1">
      <c r="A36" s="786"/>
      <c r="B36" s="705">
        <v>46265</v>
      </c>
      <c r="C36" s="444">
        <f t="shared" si="3"/>
        <v>57</v>
      </c>
      <c r="D36" s="445">
        <f>'31'!C35</f>
        <v>0</v>
      </c>
      <c r="E36" s="446"/>
      <c r="F36" s="446"/>
      <c r="G36" s="447"/>
      <c r="H36" s="448">
        <f t="shared" si="0"/>
        <v>0</v>
      </c>
      <c r="I36" s="468">
        <f t="shared" si="1"/>
        <v>57</v>
      </c>
      <c r="J36" s="469">
        <f t="shared" si="4"/>
        <v>0</v>
      </c>
      <c r="K36" s="470"/>
      <c r="L36" s="471"/>
      <c r="M36" s="471"/>
      <c r="N36" s="471"/>
      <c r="O36" s="471"/>
      <c r="P36" s="472"/>
      <c r="Q36" s="480">
        <f t="shared" si="2"/>
        <v>0</v>
      </c>
    </row>
    <row r="37" spans="1:17" ht="15.75">
      <c r="A37" s="787"/>
      <c r="B37" s="766" t="s">
        <v>71</v>
      </c>
      <c r="C37" s="767"/>
      <c r="D37" s="767"/>
      <c r="E37" s="767"/>
      <c r="F37" s="767"/>
      <c r="G37" s="767"/>
      <c r="H37" s="449">
        <f>SUM(H6:H36)</f>
        <v>50</v>
      </c>
      <c r="I37" s="768"/>
      <c r="J37" s="769"/>
      <c r="K37" s="475">
        <f>SUM(K6:K36)</f>
        <v>0</v>
      </c>
      <c r="L37" s="476">
        <f>SUM(L6:L36)</f>
        <v>0</v>
      </c>
      <c r="M37" s="476">
        <f>SUM(M6:M36)</f>
        <v>0</v>
      </c>
      <c r="N37" s="770"/>
      <c r="O37" s="771"/>
      <c r="P37" s="772"/>
      <c r="Q37" s="481">
        <f t="shared" ref="Q37:Q69" si="5">(J37+K37)-M37-L37</f>
        <v>0</v>
      </c>
    </row>
    <row r="38" spans="1:17" ht="18">
      <c r="A38" s="788" t="s">
        <v>72</v>
      </c>
      <c r="B38" s="705">
        <v>46235</v>
      </c>
      <c r="C38" s="450">
        <f>'1'!B36</f>
        <v>420</v>
      </c>
      <c r="D38" s="436">
        <f>'1'!C36</f>
        <v>0</v>
      </c>
      <c r="E38" s="451"/>
      <c r="F38" s="451"/>
      <c r="G38" s="452"/>
      <c r="H38" s="453">
        <f t="shared" ref="H38:H68" si="6">SUM(E38,F38)</f>
        <v>0</v>
      </c>
      <c r="I38" s="453">
        <f>C38+D38-H38</f>
        <v>420</v>
      </c>
      <c r="J38" s="477">
        <v>0</v>
      </c>
      <c r="K38" s="478"/>
      <c r="L38" s="451"/>
      <c r="M38" s="451"/>
      <c r="N38" s="465"/>
      <c r="O38" s="451"/>
      <c r="P38" s="467"/>
      <c r="Q38" s="482">
        <f t="shared" ref="Q38:Q68" si="7">SUM(J38+K38-L38-M38)</f>
        <v>0</v>
      </c>
    </row>
    <row r="39" spans="1:17" ht="18">
      <c r="A39" s="789"/>
      <c r="B39" s="705">
        <v>46236</v>
      </c>
      <c r="C39" s="454">
        <f>I38</f>
        <v>420</v>
      </c>
      <c r="D39" s="440">
        <f>'2'!C36</f>
        <v>0</v>
      </c>
      <c r="E39" s="451"/>
      <c r="F39" s="375"/>
      <c r="G39" s="455"/>
      <c r="H39" s="442">
        <f t="shared" si="6"/>
        <v>0</v>
      </c>
      <c r="I39" s="442">
        <f t="shared" ref="I39:I68" si="8">C39+D39-H39</f>
        <v>420</v>
      </c>
      <c r="J39" s="453">
        <f>Q38</f>
        <v>0</v>
      </c>
      <c r="K39" s="463"/>
      <c r="L39" s="375"/>
      <c r="M39" s="375"/>
      <c r="N39" s="464"/>
      <c r="O39" s="375"/>
      <c r="P39" s="443"/>
      <c r="Q39" s="479">
        <f t="shared" si="7"/>
        <v>0</v>
      </c>
    </row>
    <row r="40" spans="1:17" ht="18">
      <c r="A40" s="789"/>
      <c r="B40" s="705">
        <v>46237</v>
      </c>
      <c r="C40" s="454">
        <f t="shared" ref="C40:C68" si="9">I39</f>
        <v>420</v>
      </c>
      <c r="D40" s="440">
        <f>'3'!C36</f>
        <v>0</v>
      </c>
      <c r="E40" s="451"/>
      <c r="F40" s="375"/>
      <c r="G40" s="455"/>
      <c r="H40" s="442">
        <f t="shared" si="6"/>
        <v>0</v>
      </c>
      <c r="I40" s="442">
        <f t="shared" si="8"/>
        <v>420</v>
      </c>
      <c r="J40" s="453">
        <f t="shared" ref="J40:J68" si="10">Q39</f>
        <v>0</v>
      </c>
      <c r="K40" s="463"/>
      <c r="L40" s="375"/>
      <c r="M40" s="375"/>
      <c r="N40" s="464"/>
      <c r="O40" s="375"/>
      <c r="P40" s="443"/>
      <c r="Q40" s="479">
        <f t="shared" si="7"/>
        <v>0</v>
      </c>
    </row>
    <row r="41" spans="1:17" ht="18">
      <c r="A41" s="789"/>
      <c r="B41" s="705">
        <v>46238</v>
      </c>
      <c r="C41" s="454">
        <f t="shared" si="9"/>
        <v>420</v>
      </c>
      <c r="D41" s="440">
        <f>'4'!C36</f>
        <v>0</v>
      </c>
      <c r="E41" s="451"/>
      <c r="F41" s="375"/>
      <c r="G41" s="455"/>
      <c r="H41" s="442">
        <f t="shared" si="6"/>
        <v>0</v>
      </c>
      <c r="I41" s="442">
        <f t="shared" si="8"/>
        <v>420</v>
      </c>
      <c r="J41" s="453">
        <f t="shared" si="10"/>
        <v>0</v>
      </c>
      <c r="K41" s="463"/>
      <c r="L41" s="375"/>
      <c r="M41" s="375"/>
      <c r="N41" s="464"/>
      <c r="O41" s="375"/>
      <c r="P41" s="443"/>
      <c r="Q41" s="479">
        <f t="shared" si="7"/>
        <v>0</v>
      </c>
    </row>
    <row r="42" spans="1:17" ht="18">
      <c r="A42" s="789"/>
      <c r="B42" s="705">
        <v>46239</v>
      </c>
      <c r="C42" s="454">
        <f t="shared" si="9"/>
        <v>420</v>
      </c>
      <c r="D42" s="440">
        <f>'5'!C37</f>
        <v>0</v>
      </c>
      <c r="E42" s="451"/>
      <c r="F42" s="375"/>
      <c r="G42" s="455"/>
      <c r="H42" s="442">
        <f t="shared" si="6"/>
        <v>0</v>
      </c>
      <c r="I42" s="442">
        <f t="shared" si="8"/>
        <v>420</v>
      </c>
      <c r="J42" s="453">
        <f t="shared" si="10"/>
        <v>0</v>
      </c>
      <c r="K42" s="463"/>
      <c r="L42" s="375"/>
      <c r="M42" s="375"/>
      <c r="N42" s="375"/>
      <c r="O42" s="375"/>
      <c r="P42" s="443"/>
      <c r="Q42" s="479">
        <f t="shared" si="7"/>
        <v>0</v>
      </c>
    </row>
    <row r="43" spans="1:17" ht="18">
      <c r="A43" s="789"/>
      <c r="B43" s="705">
        <v>46240</v>
      </c>
      <c r="C43" s="454">
        <f t="shared" si="9"/>
        <v>420</v>
      </c>
      <c r="D43" s="440">
        <f>'6'!C36</f>
        <v>0</v>
      </c>
      <c r="E43" s="451"/>
      <c r="F43" s="375"/>
      <c r="G43" s="455"/>
      <c r="H43" s="442">
        <f t="shared" si="6"/>
        <v>0</v>
      </c>
      <c r="I43" s="442">
        <f t="shared" si="8"/>
        <v>420</v>
      </c>
      <c r="J43" s="453">
        <f t="shared" si="10"/>
        <v>0</v>
      </c>
      <c r="K43" s="463"/>
      <c r="L43" s="375"/>
      <c r="M43" s="375"/>
      <c r="N43" s="375"/>
      <c r="O43" s="375"/>
      <c r="P43" s="443"/>
      <c r="Q43" s="479">
        <f t="shared" si="7"/>
        <v>0</v>
      </c>
    </row>
    <row r="44" spans="1:17" ht="18">
      <c r="A44" s="789"/>
      <c r="B44" s="705">
        <v>46241</v>
      </c>
      <c r="C44" s="454">
        <f t="shared" si="9"/>
        <v>420</v>
      </c>
      <c r="D44" s="440">
        <f>'7'!C37</f>
        <v>0</v>
      </c>
      <c r="E44" s="451"/>
      <c r="F44" s="375"/>
      <c r="G44" s="455"/>
      <c r="H44" s="442">
        <f t="shared" si="6"/>
        <v>0</v>
      </c>
      <c r="I44" s="442">
        <f t="shared" si="8"/>
        <v>420</v>
      </c>
      <c r="J44" s="453">
        <f t="shared" si="10"/>
        <v>0</v>
      </c>
      <c r="K44" s="463"/>
      <c r="L44" s="375"/>
      <c r="M44" s="375"/>
      <c r="N44" s="375"/>
      <c r="O44" s="375"/>
      <c r="P44" s="443"/>
      <c r="Q44" s="479">
        <f t="shared" si="7"/>
        <v>0</v>
      </c>
    </row>
    <row r="45" spans="1:17" ht="18">
      <c r="A45" s="789"/>
      <c r="B45" s="705">
        <v>46242</v>
      </c>
      <c r="C45" s="454">
        <f t="shared" si="9"/>
        <v>420</v>
      </c>
      <c r="D45" s="440">
        <f>'8'!C37</f>
        <v>0</v>
      </c>
      <c r="E45" s="451"/>
      <c r="F45" s="375"/>
      <c r="G45" s="455"/>
      <c r="H45" s="442">
        <f t="shared" si="6"/>
        <v>0</v>
      </c>
      <c r="I45" s="442">
        <f t="shared" si="8"/>
        <v>420</v>
      </c>
      <c r="J45" s="453">
        <f t="shared" si="10"/>
        <v>0</v>
      </c>
      <c r="K45" s="463"/>
      <c r="L45" s="375"/>
      <c r="M45" s="375"/>
      <c r="N45" s="375"/>
      <c r="O45" s="375"/>
      <c r="P45" s="443"/>
      <c r="Q45" s="479">
        <f t="shared" si="7"/>
        <v>0</v>
      </c>
    </row>
    <row r="46" spans="1:17" ht="31.5">
      <c r="A46" s="789"/>
      <c r="B46" s="705">
        <v>46243</v>
      </c>
      <c r="C46" s="454">
        <f t="shared" si="9"/>
        <v>420</v>
      </c>
      <c r="D46" s="440">
        <f>'9'!C37</f>
        <v>0</v>
      </c>
      <c r="E46" s="451"/>
      <c r="F46" s="375">
        <v>125</v>
      </c>
      <c r="G46" s="455" t="s">
        <v>221</v>
      </c>
      <c r="H46" s="442">
        <f t="shared" si="6"/>
        <v>125</v>
      </c>
      <c r="I46" s="442">
        <f t="shared" si="8"/>
        <v>295</v>
      </c>
      <c r="J46" s="453">
        <f t="shared" si="10"/>
        <v>0</v>
      </c>
      <c r="K46" s="463"/>
      <c r="L46" s="375"/>
      <c r="M46" s="375"/>
      <c r="N46" s="464"/>
      <c r="O46" s="375"/>
      <c r="P46" s="443"/>
      <c r="Q46" s="479">
        <f t="shared" si="7"/>
        <v>0</v>
      </c>
    </row>
    <row r="47" spans="1:17" ht="18">
      <c r="A47" s="789"/>
      <c r="B47" s="705">
        <v>46244</v>
      </c>
      <c r="C47" s="454">
        <f t="shared" si="9"/>
        <v>295</v>
      </c>
      <c r="D47" s="440">
        <f>'10'!C37</f>
        <v>0</v>
      </c>
      <c r="E47" s="451"/>
      <c r="F47" s="375"/>
      <c r="G47" s="455"/>
      <c r="H47" s="442">
        <f t="shared" si="6"/>
        <v>0</v>
      </c>
      <c r="I47" s="442">
        <f t="shared" si="8"/>
        <v>295</v>
      </c>
      <c r="J47" s="453">
        <f t="shared" si="10"/>
        <v>0</v>
      </c>
      <c r="K47" s="463"/>
      <c r="L47" s="375"/>
      <c r="M47" s="375"/>
      <c r="N47" s="464"/>
      <c r="O47" s="375"/>
      <c r="P47" s="443"/>
      <c r="Q47" s="479">
        <f t="shared" si="7"/>
        <v>0</v>
      </c>
    </row>
    <row r="48" spans="1:17" ht="18">
      <c r="A48" s="789"/>
      <c r="B48" s="705">
        <v>46245</v>
      </c>
      <c r="C48" s="454">
        <f t="shared" si="9"/>
        <v>295</v>
      </c>
      <c r="D48" s="440">
        <f>'11'!C37</f>
        <v>0</v>
      </c>
      <c r="E48" s="451"/>
      <c r="F48" s="375"/>
      <c r="G48" s="455"/>
      <c r="H48" s="442">
        <f t="shared" si="6"/>
        <v>0</v>
      </c>
      <c r="I48" s="442">
        <f t="shared" si="8"/>
        <v>295</v>
      </c>
      <c r="J48" s="453">
        <f t="shared" si="10"/>
        <v>0</v>
      </c>
      <c r="K48" s="463"/>
      <c r="L48" s="375"/>
      <c r="M48" s="375"/>
      <c r="N48" s="464"/>
      <c r="O48" s="375"/>
      <c r="P48" s="443"/>
      <c r="Q48" s="479">
        <f t="shared" si="7"/>
        <v>0</v>
      </c>
    </row>
    <row r="49" spans="1:17" ht="18">
      <c r="A49" s="789"/>
      <c r="B49" s="705">
        <v>46246</v>
      </c>
      <c r="C49" s="454">
        <f t="shared" si="9"/>
        <v>295</v>
      </c>
      <c r="D49" s="440">
        <f>'12'!C37</f>
        <v>0</v>
      </c>
      <c r="E49" s="451"/>
      <c r="F49" s="375"/>
      <c r="G49" s="455"/>
      <c r="H49" s="442">
        <f t="shared" si="6"/>
        <v>0</v>
      </c>
      <c r="I49" s="442">
        <f t="shared" si="8"/>
        <v>295</v>
      </c>
      <c r="J49" s="453">
        <f t="shared" si="10"/>
        <v>0</v>
      </c>
      <c r="K49" s="463"/>
      <c r="L49" s="375"/>
      <c r="M49" s="375"/>
      <c r="N49" s="464"/>
      <c r="O49" s="375"/>
      <c r="P49" s="443"/>
      <c r="Q49" s="479">
        <f t="shared" si="7"/>
        <v>0</v>
      </c>
    </row>
    <row r="50" spans="1:17" ht="31.5">
      <c r="A50" s="789"/>
      <c r="B50" s="705">
        <v>46247</v>
      </c>
      <c r="C50" s="454">
        <f t="shared" si="9"/>
        <v>295</v>
      </c>
      <c r="D50" s="440">
        <f>'13'!C37</f>
        <v>0</v>
      </c>
      <c r="E50" s="451"/>
      <c r="F50" s="375">
        <v>40</v>
      </c>
      <c r="G50" s="455" t="s">
        <v>221</v>
      </c>
      <c r="H50" s="442">
        <f t="shared" si="6"/>
        <v>40</v>
      </c>
      <c r="I50" s="442">
        <f t="shared" si="8"/>
        <v>255</v>
      </c>
      <c r="J50" s="453">
        <f t="shared" si="10"/>
        <v>0</v>
      </c>
      <c r="K50" s="463"/>
      <c r="L50" s="375"/>
      <c r="M50" s="375"/>
      <c r="N50" s="464"/>
      <c r="O50" s="375"/>
      <c r="P50" s="443"/>
      <c r="Q50" s="479">
        <f t="shared" si="7"/>
        <v>0</v>
      </c>
    </row>
    <row r="51" spans="1:17" ht="18">
      <c r="A51" s="789"/>
      <c r="B51" s="705">
        <v>46248</v>
      </c>
      <c r="C51" s="454">
        <f t="shared" si="9"/>
        <v>255</v>
      </c>
      <c r="D51" s="440">
        <f>'14'!C37</f>
        <v>0</v>
      </c>
      <c r="E51" s="451"/>
      <c r="F51" s="375"/>
      <c r="G51" s="455"/>
      <c r="H51" s="442">
        <f t="shared" si="6"/>
        <v>0</v>
      </c>
      <c r="I51" s="442">
        <f t="shared" si="8"/>
        <v>255</v>
      </c>
      <c r="J51" s="453">
        <f t="shared" si="10"/>
        <v>0</v>
      </c>
      <c r="K51" s="463"/>
      <c r="L51" s="375"/>
      <c r="M51" s="375"/>
      <c r="N51" s="464"/>
      <c r="O51" s="375"/>
      <c r="P51" s="443"/>
      <c r="Q51" s="479">
        <f t="shared" si="7"/>
        <v>0</v>
      </c>
    </row>
    <row r="52" spans="1:17" ht="18">
      <c r="A52" s="789"/>
      <c r="B52" s="705">
        <v>46249</v>
      </c>
      <c r="C52" s="454">
        <f t="shared" si="9"/>
        <v>255</v>
      </c>
      <c r="D52" s="440">
        <f>'15'!C37</f>
        <v>0</v>
      </c>
      <c r="E52" s="451"/>
      <c r="F52" s="375"/>
      <c r="G52" s="455"/>
      <c r="H52" s="442">
        <f t="shared" si="6"/>
        <v>0</v>
      </c>
      <c r="I52" s="442">
        <f t="shared" si="8"/>
        <v>255</v>
      </c>
      <c r="J52" s="453">
        <f t="shared" si="10"/>
        <v>0</v>
      </c>
      <c r="K52" s="463"/>
      <c r="L52" s="375"/>
      <c r="M52" s="375"/>
      <c r="N52" s="464"/>
      <c r="O52" s="375"/>
      <c r="P52" s="443"/>
      <c r="Q52" s="479">
        <f t="shared" si="7"/>
        <v>0</v>
      </c>
    </row>
    <row r="53" spans="1:17" ht="18">
      <c r="A53" s="790"/>
      <c r="B53" s="705">
        <v>46250</v>
      </c>
      <c r="C53" s="454">
        <f t="shared" si="9"/>
        <v>255</v>
      </c>
      <c r="D53" s="440">
        <f>'16'!C37</f>
        <v>0</v>
      </c>
      <c r="E53" s="451"/>
      <c r="F53" s="375">
        <v>30</v>
      </c>
      <c r="G53" s="455" t="s">
        <v>241</v>
      </c>
      <c r="H53" s="442">
        <f t="shared" si="6"/>
        <v>30</v>
      </c>
      <c r="I53" s="442">
        <f t="shared" si="8"/>
        <v>225</v>
      </c>
      <c r="J53" s="453">
        <f t="shared" si="10"/>
        <v>0</v>
      </c>
      <c r="K53" s="463"/>
      <c r="L53" s="375"/>
      <c r="M53" s="375"/>
      <c r="N53" s="464"/>
      <c r="O53" s="375"/>
      <c r="P53" s="443"/>
      <c r="Q53" s="479">
        <f t="shared" si="7"/>
        <v>0</v>
      </c>
    </row>
    <row r="54" spans="1:17" ht="18">
      <c r="A54" s="790"/>
      <c r="B54" s="705">
        <v>46251</v>
      </c>
      <c r="C54" s="454">
        <f t="shared" si="9"/>
        <v>225</v>
      </c>
      <c r="D54" s="440">
        <f>'17'!C37</f>
        <v>0</v>
      </c>
      <c r="E54" s="451"/>
      <c r="F54" s="375"/>
      <c r="G54" s="455"/>
      <c r="H54" s="442">
        <f t="shared" si="6"/>
        <v>0</v>
      </c>
      <c r="I54" s="442">
        <f t="shared" si="8"/>
        <v>225</v>
      </c>
      <c r="J54" s="453">
        <f t="shared" si="10"/>
        <v>0</v>
      </c>
      <c r="K54" s="463"/>
      <c r="L54" s="375"/>
      <c r="M54" s="375"/>
      <c r="N54" s="464"/>
      <c r="O54" s="375"/>
      <c r="P54" s="443"/>
      <c r="Q54" s="479">
        <f t="shared" si="7"/>
        <v>0</v>
      </c>
    </row>
    <row r="55" spans="1:17" ht="18">
      <c r="A55" s="790"/>
      <c r="B55" s="705">
        <v>46252</v>
      </c>
      <c r="C55" s="454">
        <f t="shared" si="9"/>
        <v>225</v>
      </c>
      <c r="D55" s="440">
        <f>'18'!C37</f>
        <v>0</v>
      </c>
      <c r="E55" s="451"/>
      <c r="F55" s="375"/>
      <c r="G55" s="455"/>
      <c r="H55" s="442">
        <f t="shared" si="6"/>
        <v>0</v>
      </c>
      <c r="I55" s="442">
        <f t="shared" si="8"/>
        <v>225</v>
      </c>
      <c r="J55" s="453">
        <f t="shared" si="10"/>
        <v>0</v>
      </c>
      <c r="K55" s="463"/>
      <c r="L55" s="375"/>
      <c r="M55" s="375"/>
      <c r="N55" s="464"/>
      <c r="O55" s="375"/>
      <c r="P55" s="443"/>
      <c r="Q55" s="479">
        <f t="shared" si="7"/>
        <v>0</v>
      </c>
    </row>
    <row r="56" spans="1:17" ht="18">
      <c r="A56" s="790"/>
      <c r="B56" s="705">
        <v>46253</v>
      </c>
      <c r="C56" s="454">
        <f t="shared" si="9"/>
        <v>225</v>
      </c>
      <c r="D56" s="440">
        <f>'19'!C37</f>
        <v>0</v>
      </c>
      <c r="E56" s="451"/>
      <c r="F56" s="375"/>
      <c r="G56" s="455"/>
      <c r="H56" s="442">
        <f t="shared" si="6"/>
        <v>0</v>
      </c>
      <c r="I56" s="442">
        <f t="shared" si="8"/>
        <v>225</v>
      </c>
      <c r="J56" s="453">
        <f t="shared" si="10"/>
        <v>0</v>
      </c>
      <c r="K56" s="463"/>
      <c r="L56" s="375"/>
      <c r="M56" s="375"/>
      <c r="N56" s="464"/>
      <c r="O56" s="375"/>
      <c r="P56" s="443"/>
      <c r="Q56" s="479">
        <f t="shared" si="7"/>
        <v>0</v>
      </c>
    </row>
    <row r="57" spans="1:17" ht="18">
      <c r="A57" s="790"/>
      <c r="B57" s="705">
        <v>46254</v>
      </c>
      <c r="C57" s="454">
        <f t="shared" si="9"/>
        <v>225</v>
      </c>
      <c r="D57" s="440">
        <f>'20'!C37</f>
        <v>0</v>
      </c>
      <c r="E57" s="451"/>
      <c r="F57" s="375"/>
      <c r="G57" s="455"/>
      <c r="H57" s="442">
        <f t="shared" si="6"/>
        <v>0</v>
      </c>
      <c r="I57" s="442">
        <f t="shared" si="8"/>
        <v>225</v>
      </c>
      <c r="J57" s="453">
        <f t="shared" si="10"/>
        <v>0</v>
      </c>
      <c r="K57" s="463"/>
      <c r="L57" s="375"/>
      <c r="M57" s="375"/>
      <c r="N57" s="464"/>
      <c r="O57" s="375"/>
      <c r="P57" s="443"/>
      <c r="Q57" s="479">
        <f t="shared" si="7"/>
        <v>0</v>
      </c>
    </row>
    <row r="58" spans="1:17" ht="18">
      <c r="A58" s="790"/>
      <c r="B58" s="705">
        <v>46255</v>
      </c>
      <c r="C58" s="454">
        <f t="shared" si="9"/>
        <v>225</v>
      </c>
      <c r="D58" s="440">
        <f>'21'!C37</f>
        <v>0</v>
      </c>
      <c r="E58" s="451"/>
      <c r="F58" s="375"/>
      <c r="G58" s="455"/>
      <c r="H58" s="442">
        <f t="shared" si="6"/>
        <v>0</v>
      </c>
      <c r="I58" s="442">
        <f t="shared" si="8"/>
        <v>225</v>
      </c>
      <c r="J58" s="453">
        <f t="shared" si="10"/>
        <v>0</v>
      </c>
      <c r="K58" s="463"/>
      <c r="L58" s="375"/>
      <c r="M58" s="375"/>
      <c r="N58" s="464"/>
      <c r="O58" s="375"/>
      <c r="P58" s="443"/>
      <c r="Q58" s="479">
        <f t="shared" si="7"/>
        <v>0</v>
      </c>
    </row>
    <row r="59" spans="1:17" ht="18">
      <c r="A59" s="790"/>
      <c r="B59" s="705">
        <v>46256</v>
      </c>
      <c r="C59" s="454">
        <f t="shared" si="9"/>
        <v>225</v>
      </c>
      <c r="D59" s="440">
        <f>'22'!C37</f>
        <v>0</v>
      </c>
      <c r="E59" s="451"/>
      <c r="F59" s="375"/>
      <c r="G59" s="455"/>
      <c r="H59" s="442">
        <f t="shared" si="6"/>
        <v>0</v>
      </c>
      <c r="I59" s="442">
        <f t="shared" si="8"/>
        <v>225</v>
      </c>
      <c r="J59" s="453">
        <f t="shared" si="10"/>
        <v>0</v>
      </c>
      <c r="K59" s="463"/>
      <c r="L59" s="375"/>
      <c r="M59" s="375"/>
      <c r="N59" s="464"/>
      <c r="O59" s="375"/>
      <c r="P59" s="443"/>
      <c r="Q59" s="479">
        <f t="shared" si="7"/>
        <v>0</v>
      </c>
    </row>
    <row r="60" spans="1:17" ht="18">
      <c r="A60" s="790"/>
      <c r="B60" s="705">
        <v>46257</v>
      </c>
      <c r="C60" s="454">
        <f t="shared" si="9"/>
        <v>225</v>
      </c>
      <c r="D60" s="440">
        <f>'23'!C37</f>
        <v>0</v>
      </c>
      <c r="E60" s="451"/>
      <c r="F60" s="375"/>
      <c r="G60" s="455"/>
      <c r="H60" s="442">
        <f t="shared" si="6"/>
        <v>0</v>
      </c>
      <c r="I60" s="442">
        <f t="shared" si="8"/>
        <v>225</v>
      </c>
      <c r="J60" s="453">
        <f t="shared" si="10"/>
        <v>0</v>
      </c>
      <c r="K60" s="463"/>
      <c r="L60" s="375"/>
      <c r="M60" s="375"/>
      <c r="N60" s="464"/>
      <c r="O60" s="375"/>
      <c r="P60" s="443"/>
      <c r="Q60" s="479">
        <f t="shared" si="7"/>
        <v>0</v>
      </c>
    </row>
    <row r="61" spans="1:17" s="405" customFormat="1" ht="18">
      <c r="A61" s="790"/>
      <c r="B61" s="705">
        <v>46258</v>
      </c>
      <c r="C61" s="454">
        <f t="shared" si="9"/>
        <v>225</v>
      </c>
      <c r="D61" s="440">
        <f>'24'!C37</f>
        <v>0</v>
      </c>
      <c r="E61" s="451"/>
      <c r="F61" s="375"/>
      <c r="G61" s="455"/>
      <c r="H61" s="442">
        <f t="shared" si="6"/>
        <v>0</v>
      </c>
      <c r="I61" s="442">
        <f t="shared" si="8"/>
        <v>225</v>
      </c>
      <c r="J61" s="453">
        <f t="shared" si="10"/>
        <v>0</v>
      </c>
      <c r="K61" s="463"/>
      <c r="L61" s="375"/>
      <c r="M61" s="375"/>
      <c r="N61" s="464"/>
      <c r="O61" s="375"/>
      <c r="P61" s="443"/>
      <c r="Q61" s="479">
        <f t="shared" si="7"/>
        <v>0</v>
      </c>
    </row>
    <row r="62" spans="1:17" s="405" customFormat="1" ht="18">
      <c r="A62" s="790"/>
      <c r="B62" s="705">
        <v>46259</v>
      </c>
      <c r="C62" s="454">
        <f t="shared" si="9"/>
        <v>225</v>
      </c>
      <c r="D62" s="440">
        <f>'25'!C37</f>
        <v>0</v>
      </c>
      <c r="E62" s="451"/>
      <c r="F62" s="375"/>
      <c r="G62" s="455"/>
      <c r="H62" s="442">
        <f t="shared" si="6"/>
        <v>0</v>
      </c>
      <c r="I62" s="442">
        <f t="shared" si="8"/>
        <v>225</v>
      </c>
      <c r="J62" s="453">
        <f t="shared" si="10"/>
        <v>0</v>
      </c>
      <c r="K62" s="463"/>
      <c r="L62" s="375"/>
      <c r="M62" s="375"/>
      <c r="N62" s="464"/>
      <c r="O62" s="375"/>
      <c r="P62" s="443"/>
      <c r="Q62" s="479">
        <f t="shared" si="7"/>
        <v>0</v>
      </c>
    </row>
    <row r="63" spans="1:17" s="405" customFormat="1" ht="18">
      <c r="A63" s="790"/>
      <c r="B63" s="705">
        <v>46260</v>
      </c>
      <c r="C63" s="454">
        <f t="shared" si="9"/>
        <v>225</v>
      </c>
      <c r="D63" s="440">
        <f>'26'!C37</f>
        <v>0</v>
      </c>
      <c r="E63" s="451"/>
      <c r="F63" s="375"/>
      <c r="G63" s="455"/>
      <c r="H63" s="442">
        <f t="shared" si="6"/>
        <v>0</v>
      </c>
      <c r="I63" s="442">
        <f t="shared" si="8"/>
        <v>225</v>
      </c>
      <c r="J63" s="453">
        <f t="shared" si="10"/>
        <v>0</v>
      </c>
      <c r="K63" s="463"/>
      <c r="L63" s="375"/>
      <c r="M63" s="375"/>
      <c r="N63" s="464"/>
      <c r="O63" s="375"/>
      <c r="P63" s="443"/>
      <c r="Q63" s="479">
        <f t="shared" si="7"/>
        <v>0</v>
      </c>
    </row>
    <row r="64" spans="1:17" s="405" customFormat="1" ht="18">
      <c r="A64" s="790"/>
      <c r="B64" s="705">
        <v>46261</v>
      </c>
      <c r="C64" s="454">
        <f t="shared" si="9"/>
        <v>225</v>
      </c>
      <c r="D64" s="440">
        <f>'27'!C37</f>
        <v>0</v>
      </c>
      <c r="E64" s="451"/>
      <c r="F64" s="375"/>
      <c r="G64" s="455"/>
      <c r="H64" s="442">
        <f t="shared" si="6"/>
        <v>0</v>
      </c>
      <c r="I64" s="442">
        <f t="shared" si="8"/>
        <v>225</v>
      </c>
      <c r="J64" s="453">
        <f t="shared" si="10"/>
        <v>0</v>
      </c>
      <c r="K64" s="463"/>
      <c r="L64" s="375"/>
      <c r="M64" s="375"/>
      <c r="N64" s="464"/>
      <c r="O64" s="375"/>
      <c r="P64" s="443"/>
      <c r="Q64" s="479">
        <f t="shared" si="7"/>
        <v>0</v>
      </c>
    </row>
    <row r="65" spans="1:17" s="405" customFormat="1" ht="18">
      <c r="A65" s="790"/>
      <c r="B65" s="705">
        <v>46262</v>
      </c>
      <c r="C65" s="454">
        <f t="shared" si="9"/>
        <v>225</v>
      </c>
      <c r="D65" s="440">
        <f>'28'!C37</f>
        <v>0</v>
      </c>
      <c r="E65" s="451"/>
      <c r="F65" s="375"/>
      <c r="G65" s="455"/>
      <c r="H65" s="442">
        <f t="shared" si="6"/>
        <v>0</v>
      </c>
      <c r="I65" s="442">
        <f t="shared" si="8"/>
        <v>225</v>
      </c>
      <c r="J65" s="453">
        <f t="shared" si="10"/>
        <v>0</v>
      </c>
      <c r="K65" s="463"/>
      <c r="L65" s="375"/>
      <c r="M65" s="375"/>
      <c r="N65" s="464"/>
      <c r="O65" s="375"/>
      <c r="P65" s="443"/>
      <c r="Q65" s="479">
        <f t="shared" si="7"/>
        <v>0</v>
      </c>
    </row>
    <row r="66" spans="1:17" s="405" customFormat="1" ht="18">
      <c r="A66" s="790"/>
      <c r="B66" s="705">
        <v>46263</v>
      </c>
      <c r="C66" s="454">
        <f t="shared" si="9"/>
        <v>225</v>
      </c>
      <c r="D66" s="440">
        <f>'29'!C37</f>
        <v>0</v>
      </c>
      <c r="E66" s="451"/>
      <c r="F66" s="375"/>
      <c r="G66" s="455"/>
      <c r="H66" s="442">
        <f t="shared" si="6"/>
        <v>0</v>
      </c>
      <c r="I66" s="442">
        <f t="shared" si="8"/>
        <v>225</v>
      </c>
      <c r="J66" s="453">
        <f t="shared" si="10"/>
        <v>0</v>
      </c>
      <c r="K66" s="463"/>
      <c r="L66" s="375"/>
      <c r="M66" s="375"/>
      <c r="N66" s="464"/>
      <c r="O66" s="375"/>
      <c r="P66" s="443"/>
      <c r="Q66" s="479">
        <f t="shared" si="7"/>
        <v>0</v>
      </c>
    </row>
    <row r="67" spans="1:17" ht="18">
      <c r="A67" s="790"/>
      <c r="B67" s="705">
        <v>46264</v>
      </c>
      <c r="C67" s="454">
        <f t="shared" si="9"/>
        <v>225</v>
      </c>
      <c r="D67" s="440">
        <f>'30'!C37</f>
        <v>0</v>
      </c>
      <c r="E67" s="451"/>
      <c r="F67" s="375"/>
      <c r="G67" s="455"/>
      <c r="H67" s="442">
        <f t="shared" si="6"/>
        <v>0</v>
      </c>
      <c r="I67" s="442">
        <f t="shared" si="8"/>
        <v>225</v>
      </c>
      <c r="J67" s="453">
        <f t="shared" si="10"/>
        <v>0</v>
      </c>
      <c r="K67" s="463"/>
      <c r="L67" s="375"/>
      <c r="M67" s="375"/>
      <c r="N67" s="375"/>
      <c r="O67" s="375"/>
      <c r="P67" s="443"/>
      <c r="Q67" s="479">
        <f t="shared" si="7"/>
        <v>0</v>
      </c>
    </row>
    <row r="68" spans="1:17" ht="18">
      <c r="A68" s="790"/>
      <c r="B68" s="705">
        <v>46265</v>
      </c>
      <c r="C68" s="454">
        <f t="shared" si="9"/>
        <v>225</v>
      </c>
      <c r="D68" s="440">
        <f>'31'!C36</f>
        <v>0</v>
      </c>
      <c r="E68" s="451"/>
      <c r="F68" s="375"/>
      <c r="G68" s="443"/>
      <c r="H68" s="442">
        <f t="shared" si="6"/>
        <v>0</v>
      </c>
      <c r="I68" s="442">
        <f t="shared" si="8"/>
        <v>225</v>
      </c>
      <c r="J68" s="453">
        <f t="shared" si="10"/>
        <v>0</v>
      </c>
      <c r="K68" s="463"/>
      <c r="L68" s="375"/>
      <c r="M68" s="375"/>
      <c r="N68" s="375"/>
      <c r="O68" s="375"/>
      <c r="P68" s="443"/>
      <c r="Q68" s="479">
        <f t="shared" si="7"/>
        <v>0</v>
      </c>
    </row>
    <row r="69" spans="1:17" ht="15.75">
      <c r="A69" s="791"/>
      <c r="B69" s="780" t="s">
        <v>73</v>
      </c>
      <c r="C69" s="767"/>
      <c r="D69" s="781"/>
      <c r="E69" s="767"/>
      <c r="F69" s="767"/>
      <c r="G69" s="767"/>
      <c r="H69" s="449">
        <f>SUM(H38:H68)</f>
        <v>195</v>
      </c>
      <c r="I69" s="485"/>
      <c r="J69" s="486"/>
      <c r="K69" s="475">
        <f>SUM(K38:K68)</f>
        <v>0</v>
      </c>
      <c r="L69" s="487"/>
      <c r="M69" s="487">
        <f>SUM(M38:M68)</f>
        <v>0</v>
      </c>
      <c r="N69" s="474"/>
      <c r="O69" s="474"/>
      <c r="P69" s="487"/>
      <c r="Q69" s="481">
        <f t="shared" si="5"/>
        <v>0</v>
      </c>
    </row>
    <row r="70" spans="1:17" ht="18">
      <c r="A70" s="785" t="s">
        <v>74</v>
      </c>
      <c r="B70" s="705">
        <v>46235</v>
      </c>
      <c r="C70" s="450">
        <f>'1'!B37</f>
        <v>320</v>
      </c>
      <c r="D70" s="440">
        <f>'1'!C37</f>
        <v>0</v>
      </c>
      <c r="E70" s="451"/>
      <c r="F70" s="451"/>
      <c r="G70" s="452"/>
      <c r="H70" s="442">
        <f t="shared" ref="H70:H135" si="11">SUM(E70,F70)</f>
        <v>0</v>
      </c>
      <c r="I70" s="442">
        <f>C70+D70-H70</f>
        <v>320</v>
      </c>
      <c r="J70" s="458">
        <v>0</v>
      </c>
      <c r="K70" s="478"/>
      <c r="L70" s="451"/>
      <c r="M70" s="451"/>
      <c r="N70" s="451"/>
      <c r="O70" s="451"/>
      <c r="P70" s="467"/>
      <c r="Q70" s="479">
        <f t="shared" ref="Q70:Q135" si="12">SUM(J70+K70-L70-M70)</f>
        <v>0</v>
      </c>
    </row>
    <row r="71" spans="1:17" s="405" customFormat="1" ht="18">
      <c r="A71" s="786"/>
      <c r="B71" s="705">
        <v>46236</v>
      </c>
      <c r="C71" s="454">
        <f>I70</f>
        <v>320</v>
      </c>
      <c r="D71" s="440">
        <f>'2'!C37</f>
        <v>0</v>
      </c>
      <c r="E71" s="375"/>
      <c r="F71" s="451"/>
      <c r="G71" s="452"/>
      <c r="H71" s="442">
        <f t="shared" si="11"/>
        <v>0</v>
      </c>
      <c r="I71" s="442">
        <f t="shared" ref="I71:I100" si="13">C71+D71-H71</f>
        <v>320</v>
      </c>
      <c r="J71" s="453">
        <f>Q70</f>
        <v>0</v>
      </c>
      <c r="K71" s="463"/>
      <c r="L71" s="375"/>
      <c r="M71" s="375"/>
      <c r="N71" s="375"/>
      <c r="O71" s="375"/>
      <c r="P71" s="443"/>
      <c r="Q71" s="479">
        <f t="shared" si="12"/>
        <v>0</v>
      </c>
    </row>
    <row r="72" spans="1:17" ht="18">
      <c r="A72" s="786"/>
      <c r="B72" s="705">
        <v>46237</v>
      </c>
      <c r="C72" s="454">
        <f t="shared" ref="C72:C100" si="14">I71</f>
        <v>320</v>
      </c>
      <c r="D72" s="440">
        <f>'3'!C37</f>
        <v>0</v>
      </c>
      <c r="E72" s="375"/>
      <c r="F72" s="375"/>
      <c r="G72" s="452"/>
      <c r="H72" s="442">
        <f t="shared" si="11"/>
        <v>0</v>
      </c>
      <c r="I72" s="442">
        <f t="shared" si="13"/>
        <v>320</v>
      </c>
      <c r="J72" s="453">
        <f t="shared" ref="J72:J100" si="15">Q71</f>
        <v>0</v>
      </c>
      <c r="K72" s="463"/>
      <c r="L72" s="375"/>
      <c r="M72" s="375"/>
      <c r="N72" s="375"/>
      <c r="O72" s="375"/>
      <c r="P72" s="443"/>
      <c r="Q72" s="479">
        <f t="shared" si="12"/>
        <v>0</v>
      </c>
    </row>
    <row r="73" spans="1:17" ht="18">
      <c r="A73" s="786"/>
      <c r="B73" s="705">
        <v>46238</v>
      </c>
      <c r="C73" s="454">
        <f t="shared" si="14"/>
        <v>320</v>
      </c>
      <c r="D73" s="440">
        <f>'4'!C37</f>
        <v>0</v>
      </c>
      <c r="E73" s="375"/>
      <c r="F73" s="375"/>
      <c r="G73" s="483"/>
      <c r="H73" s="442">
        <f t="shared" si="11"/>
        <v>0</v>
      </c>
      <c r="I73" s="442">
        <f t="shared" si="13"/>
        <v>320</v>
      </c>
      <c r="J73" s="453">
        <f t="shared" si="15"/>
        <v>0</v>
      </c>
      <c r="K73" s="463"/>
      <c r="L73" s="375"/>
      <c r="M73" s="375"/>
      <c r="N73" s="375"/>
      <c r="O73" s="375"/>
      <c r="P73" s="443"/>
      <c r="Q73" s="479">
        <f t="shared" si="12"/>
        <v>0</v>
      </c>
    </row>
    <row r="74" spans="1:17" ht="18">
      <c r="A74" s="786"/>
      <c r="B74" s="705">
        <v>46239</v>
      </c>
      <c r="C74" s="454">
        <f t="shared" si="14"/>
        <v>320</v>
      </c>
      <c r="D74" s="440">
        <f>'5'!C38</f>
        <v>0</v>
      </c>
      <c r="E74" s="375"/>
      <c r="F74" s="375">
        <v>20</v>
      </c>
      <c r="G74" s="703" t="s">
        <v>210</v>
      </c>
      <c r="H74" s="442">
        <f t="shared" si="11"/>
        <v>20</v>
      </c>
      <c r="I74" s="442">
        <f t="shared" si="13"/>
        <v>300</v>
      </c>
      <c r="J74" s="453">
        <f t="shared" si="15"/>
        <v>0</v>
      </c>
      <c r="K74" s="463"/>
      <c r="L74" s="375"/>
      <c r="M74" s="375"/>
      <c r="N74" s="375"/>
      <c r="O74" s="375"/>
      <c r="P74" s="443"/>
      <c r="Q74" s="479">
        <f t="shared" si="12"/>
        <v>0</v>
      </c>
    </row>
    <row r="75" spans="1:17" ht="63">
      <c r="A75" s="786"/>
      <c r="B75" s="705">
        <v>46240</v>
      </c>
      <c r="C75" s="454">
        <f t="shared" si="14"/>
        <v>300</v>
      </c>
      <c r="D75" s="440">
        <f>'6'!C37</f>
        <v>0</v>
      </c>
      <c r="E75" s="375"/>
      <c r="F75" s="375">
        <v>30</v>
      </c>
      <c r="G75" s="483" t="s">
        <v>213</v>
      </c>
      <c r="H75" s="442">
        <f t="shared" si="11"/>
        <v>30</v>
      </c>
      <c r="I75" s="442">
        <f t="shared" si="13"/>
        <v>270</v>
      </c>
      <c r="J75" s="453">
        <f t="shared" si="15"/>
        <v>0</v>
      </c>
      <c r="K75" s="463"/>
      <c r="L75" s="375"/>
      <c r="M75" s="375"/>
      <c r="N75" s="375"/>
      <c r="O75" s="375"/>
      <c r="P75" s="443"/>
      <c r="Q75" s="479">
        <f t="shared" si="12"/>
        <v>0</v>
      </c>
    </row>
    <row r="76" spans="1:17" ht="18">
      <c r="A76" s="786"/>
      <c r="B76" s="705">
        <v>46241</v>
      </c>
      <c r="C76" s="454">
        <f t="shared" si="14"/>
        <v>270</v>
      </c>
      <c r="D76" s="440">
        <f>'7'!C38</f>
        <v>0</v>
      </c>
      <c r="E76" s="375"/>
      <c r="F76" s="375"/>
      <c r="G76" s="483"/>
      <c r="H76" s="442">
        <f t="shared" si="11"/>
        <v>0</v>
      </c>
      <c r="I76" s="442">
        <f t="shared" si="13"/>
        <v>270</v>
      </c>
      <c r="J76" s="453">
        <f t="shared" si="15"/>
        <v>0</v>
      </c>
      <c r="K76" s="463"/>
      <c r="L76" s="375"/>
      <c r="M76" s="375"/>
      <c r="N76" s="375"/>
      <c r="O76" s="375"/>
      <c r="P76" s="443"/>
      <c r="Q76" s="479">
        <f t="shared" si="12"/>
        <v>0</v>
      </c>
    </row>
    <row r="77" spans="1:17" ht="31.5">
      <c r="A77" s="786"/>
      <c r="B77" s="705">
        <v>46242</v>
      </c>
      <c r="C77" s="454">
        <f t="shared" si="14"/>
        <v>270</v>
      </c>
      <c r="D77" s="440">
        <f>'8'!C38</f>
        <v>0</v>
      </c>
      <c r="E77" s="375"/>
      <c r="F77" s="375">
        <v>15</v>
      </c>
      <c r="G77" s="665" t="s">
        <v>239</v>
      </c>
      <c r="H77" s="442">
        <f t="shared" si="11"/>
        <v>15</v>
      </c>
      <c r="I77" s="442">
        <f t="shared" si="13"/>
        <v>255</v>
      </c>
      <c r="J77" s="453">
        <f t="shared" si="15"/>
        <v>0</v>
      </c>
      <c r="K77" s="463"/>
      <c r="L77" s="375"/>
      <c r="M77" s="375"/>
      <c r="N77" s="375"/>
      <c r="O77" s="375"/>
      <c r="P77" s="443"/>
      <c r="Q77" s="479">
        <f t="shared" si="12"/>
        <v>0</v>
      </c>
    </row>
    <row r="78" spans="1:17" ht="18">
      <c r="A78" s="786"/>
      <c r="B78" s="705">
        <v>46243</v>
      </c>
      <c r="C78" s="454">
        <f t="shared" si="14"/>
        <v>255</v>
      </c>
      <c r="D78" s="440">
        <f>'9'!C38</f>
        <v>0</v>
      </c>
      <c r="E78" s="375"/>
      <c r="F78" s="375"/>
      <c r="G78" s="452"/>
      <c r="H78" s="442">
        <f t="shared" si="11"/>
        <v>0</v>
      </c>
      <c r="I78" s="442">
        <f t="shared" si="13"/>
        <v>255</v>
      </c>
      <c r="J78" s="453">
        <f t="shared" si="15"/>
        <v>0</v>
      </c>
      <c r="K78" s="463"/>
      <c r="L78" s="375"/>
      <c r="M78" s="375"/>
      <c r="N78" s="375"/>
      <c r="O78" s="375"/>
      <c r="P78" s="443"/>
      <c r="Q78" s="479">
        <f t="shared" si="12"/>
        <v>0</v>
      </c>
    </row>
    <row r="79" spans="1:17" ht="18">
      <c r="A79" s="786"/>
      <c r="B79" s="705">
        <v>46244</v>
      </c>
      <c r="C79" s="454">
        <f t="shared" si="14"/>
        <v>255</v>
      </c>
      <c r="D79" s="440">
        <f>'10'!C38</f>
        <v>0</v>
      </c>
      <c r="E79" s="375"/>
      <c r="F79" s="375"/>
      <c r="G79" s="452"/>
      <c r="H79" s="442">
        <f t="shared" si="11"/>
        <v>0</v>
      </c>
      <c r="I79" s="442">
        <f t="shared" si="13"/>
        <v>255</v>
      </c>
      <c r="J79" s="453">
        <f t="shared" si="15"/>
        <v>0</v>
      </c>
      <c r="K79" s="463"/>
      <c r="L79" s="375"/>
      <c r="M79" s="375"/>
      <c r="N79" s="375"/>
      <c r="O79" s="375"/>
      <c r="P79" s="443"/>
      <c r="Q79" s="479">
        <f t="shared" si="12"/>
        <v>0</v>
      </c>
    </row>
    <row r="80" spans="1:17" ht="18">
      <c r="A80" s="786"/>
      <c r="B80" s="705">
        <v>46245</v>
      </c>
      <c r="C80" s="454">
        <f t="shared" si="14"/>
        <v>255</v>
      </c>
      <c r="D80" s="440">
        <f>'11'!C38</f>
        <v>0</v>
      </c>
      <c r="E80" s="375"/>
      <c r="F80" s="375"/>
      <c r="G80" s="441"/>
      <c r="H80" s="442">
        <f t="shared" si="11"/>
        <v>0</v>
      </c>
      <c r="I80" s="442">
        <f t="shared" si="13"/>
        <v>255</v>
      </c>
      <c r="J80" s="453">
        <f t="shared" si="15"/>
        <v>0</v>
      </c>
      <c r="K80" s="463"/>
      <c r="L80" s="375"/>
      <c r="M80" s="375"/>
      <c r="N80" s="375"/>
      <c r="O80" s="375"/>
      <c r="P80" s="443"/>
      <c r="Q80" s="479">
        <f t="shared" si="12"/>
        <v>0</v>
      </c>
    </row>
    <row r="81" spans="1:17" ht="18">
      <c r="A81" s="786"/>
      <c r="B81" s="705">
        <v>46246</v>
      </c>
      <c r="C81" s="454">
        <f t="shared" si="14"/>
        <v>255</v>
      </c>
      <c r="D81" s="440">
        <f>'12'!C38</f>
        <v>0</v>
      </c>
      <c r="E81" s="375"/>
      <c r="F81" s="375"/>
      <c r="G81" s="452"/>
      <c r="H81" s="442">
        <f t="shared" si="11"/>
        <v>0</v>
      </c>
      <c r="I81" s="442">
        <f t="shared" si="13"/>
        <v>255</v>
      </c>
      <c r="J81" s="453">
        <f t="shared" si="15"/>
        <v>0</v>
      </c>
      <c r="K81" s="463"/>
      <c r="L81" s="375"/>
      <c r="M81" s="375"/>
      <c r="N81" s="375"/>
      <c r="O81" s="375"/>
      <c r="P81" s="443"/>
      <c r="Q81" s="479">
        <f t="shared" si="12"/>
        <v>0</v>
      </c>
    </row>
    <row r="82" spans="1:17" ht="18">
      <c r="A82" s="786"/>
      <c r="B82" s="705">
        <v>46247</v>
      </c>
      <c r="C82" s="454">
        <f t="shared" si="14"/>
        <v>255</v>
      </c>
      <c r="D82" s="440">
        <f>'13'!C38</f>
        <v>0</v>
      </c>
      <c r="E82" s="375"/>
      <c r="F82" s="375">
        <v>5</v>
      </c>
      <c r="G82" s="443" t="s">
        <v>230</v>
      </c>
      <c r="H82" s="442">
        <f t="shared" si="11"/>
        <v>5</v>
      </c>
      <c r="I82" s="442">
        <f t="shared" si="13"/>
        <v>250</v>
      </c>
      <c r="J82" s="453">
        <f t="shared" si="15"/>
        <v>0</v>
      </c>
      <c r="K82" s="463"/>
      <c r="L82" s="375"/>
      <c r="M82" s="375"/>
      <c r="N82" s="375"/>
      <c r="O82" s="375"/>
      <c r="P82" s="443"/>
      <c r="Q82" s="479">
        <f t="shared" si="12"/>
        <v>0</v>
      </c>
    </row>
    <row r="83" spans="1:17" ht="18">
      <c r="A83" s="786"/>
      <c r="B83" s="705">
        <v>46248</v>
      </c>
      <c r="C83" s="454">
        <f t="shared" si="14"/>
        <v>250</v>
      </c>
      <c r="D83" s="440">
        <f>'14'!C38</f>
        <v>0</v>
      </c>
      <c r="E83" s="375"/>
      <c r="F83" s="375">
        <v>5</v>
      </c>
      <c r="G83" s="452" t="s">
        <v>231</v>
      </c>
      <c r="H83" s="442">
        <f t="shared" si="11"/>
        <v>5</v>
      </c>
      <c r="I83" s="442">
        <f t="shared" si="13"/>
        <v>245</v>
      </c>
      <c r="J83" s="453">
        <f t="shared" si="15"/>
        <v>0</v>
      </c>
      <c r="K83" s="463"/>
      <c r="L83" s="375"/>
      <c r="M83" s="375"/>
      <c r="N83" s="464"/>
      <c r="O83" s="375"/>
      <c r="P83" s="443"/>
      <c r="Q83" s="479">
        <f t="shared" si="12"/>
        <v>0</v>
      </c>
    </row>
    <row r="84" spans="1:17" ht="18">
      <c r="A84" s="786"/>
      <c r="B84" s="705">
        <v>46249</v>
      </c>
      <c r="C84" s="454">
        <f t="shared" si="14"/>
        <v>245</v>
      </c>
      <c r="D84" s="440">
        <f>'15'!C38</f>
        <v>0</v>
      </c>
      <c r="E84" s="375"/>
      <c r="F84" s="375"/>
      <c r="G84" s="452"/>
      <c r="H84" s="442">
        <f t="shared" si="11"/>
        <v>0</v>
      </c>
      <c r="I84" s="442">
        <f t="shared" si="13"/>
        <v>245</v>
      </c>
      <c r="J84" s="453">
        <f t="shared" si="15"/>
        <v>0</v>
      </c>
      <c r="K84" s="463"/>
      <c r="L84" s="375"/>
      <c r="M84" s="375"/>
      <c r="N84" s="375"/>
      <c r="O84" s="375"/>
      <c r="P84" s="443"/>
      <c r="Q84" s="479">
        <f t="shared" si="12"/>
        <v>0</v>
      </c>
    </row>
    <row r="85" spans="1:17" ht="18">
      <c r="A85" s="786"/>
      <c r="B85" s="705">
        <v>46250</v>
      </c>
      <c r="C85" s="454">
        <f t="shared" si="14"/>
        <v>245</v>
      </c>
      <c r="D85" s="440">
        <f>'16'!C38</f>
        <v>0</v>
      </c>
      <c r="E85" s="375"/>
      <c r="F85" s="375"/>
      <c r="G85" s="452"/>
      <c r="H85" s="442">
        <f t="shared" si="11"/>
        <v>0</v>
      </c>
      <c r="I85" s="442">
        <f t="shared" si="13"/>
        <v>245</v>
      </c>
      <c r="J85" s="453">
        <f t="shared" si="15"/>
        <v>0</v>
      </c>
      <c r="K85" s="463"/>
      <c r="L85" s="375"/>
      <c r="M85" s="375"/>
      <c r="N85" s="375"/>
      <c r="O85" s="375"/>
      <c r="P85" s="443"/>
      <c r="Q85" s="479">
        <f t="shared" si="12"/>
        <v>0</v>
      </c>
    </row>
    <row r="86" spans="1:17" ht="18">
      <c r="A86" s="786"/>
      <c r="B86" s="705">
        <v>46251</v>
      </c>
      <c r="C86" s="454">
        <f t="shared" si="14"/>
        <v>245</v>
      </c>
      <c r="D86" s="440">
        <f>'17'!C38</f>
        <v>0</v>
      </c>
      <c r="E86" s="375"/>
      <c r="F86" s="375"/>
      <c r="G86" s="443"/>
      <c r="H86" s="442">
        <f t="shared" si="11"/>
        <v>0</v>
      </c>
      <c r="I86" s="442">
        <f t="shared" si="13"/>
        <v>245</v>
      </c>
      <c r="J86" s="453">
        <f t="shared" si="15"/>
        <v>0</v>
      </c>
      <c r="K86" s="463"/>
      <c r="L86" s="375"/>
      <c r="M86" s="375"/>
      <c r="N86" s="375"/>
      <c r="O86" s="375"/>
      <c r="P86" s="443"/>
      <c r="Q86" s="479">
        <f t="shared" si="12"/>
        <v>0</v>
      </c>
    </row>
    <row r="87" spans="1:17" ht="18">
      <c r="A87" s="786"/>
      <c r="B87" s="705">
        <v>46252</v>
      </c>
      <c r="C87" s="454">
        <f t="shared" si="14"/>
        <v>245</v>
      </c>
      <c r="D87" s="440">
        <f>'18'!C38</f>
        <v>0</v>
      </c>
      <c r="E87" s="375"/>
      <c r="F87" s="375"/>
      <c r="G87" s="443"/>
      <c r="H87" s="442">
        <f t="shared" si="11"/>
        <v>0</v>
      </c>
      <c r="I87" s="442">
        <f t="shared" si="13"/>
        <v>245</v>
      </c>
      <c r="J87" s="453">
        <f t="shared" si="15"/>
        <v>0</v>
      </c>
      <c r="K87" s="463"/>
      <c r="L87" s="375"/>
      <c r="M87" s="375"/>
      <c r="N87" s="375"/>
      <c r="O87" s="375"/>
      <c r="P87" s="443"/>
      <c r="Q87" s="479">
        <f t="shared" si="12"/>
        <v>0</v>
      </c>
    </row>
    <row r="88" spans="1:17" ht="18">
      <c r="A88" s="786"/>
      <c r="B88" s="705">
        <v>46253</v>
      </c>
      <c r="C88" s="454">
        <f t="shared" si="14"/>
        <v>245</v>
      </c>
      <c r="D88" s="440">
        <f>'19'!C38</f>
        <v>0</v>
      </c>
      <c r="E88" s="375"/>
      <c r="F88" s="375"/>
      <c r="G88" s="443"/>
      <c r="H88" s="442">
        <f t="shared" si="11"/>
        <v>0</v>
      </c>
      <c r="I88" s="442">
        <f t="shared" si="13"/>
        <v>245</v>
      </c>
      <c r="J88" s="453">
        <f t="shared" si="15"/>
        <v>0</v>
      </c>
      <c r="K88" s="463"/>
      <c r="L88" s="375"/>
      <c r="M88" s="375"/>
      <c r="N88" s="375"/>
      <c r="O88" s="375"/>
      <c r="P88" s="443"/>
      <c r="Q88" s="479">
        <f t="shared" si="12"/>
        <v>0</v>
      </c>
    </row>
    <row r="89" spans="1:17" ht="18.75" thickBot="1">
      <c r="A89" s="786"/>
      <c r="B89" s="705">
        <v>46254</v>
      </c>
      <c r="C89" s="454">
        <f t="shared" si="14"/>
        <v>245</v>
      </c>
      <c r="D89" s="440">
        <f>'20'!C38</f>
        <v>0</v>
      </c>
      <c r="E89" s="375"/>
      <c r="F89" s="375"/>
      <c r="G89" s="443"/>
      <c r="H89" s="442">
        <f t="shared" si="11"/>
        <v>0</v>
      </c>
      <c r="I89" s="442">
        <f t="shared" si="13"/>
        <v>245</v>
      </c>
      <c r="J89" s="453">
        <f t="shared" si="15"/>
        <v>0</v>
      </c>
      <c r="K89" s="463"/>
      <c r="L89" s="375"/>
      <c r="M89" s="375"/>
      <c r="N89" s="375"/>
      <c r="O89" s="375"/>
      <c r="P89" s="443"/>
      <c r="Q89" s="479">
        <f t="shared" si="12"/>
        <v>0</v>
      </c>
    </row>
    <row r="90" spans="1:17" ht="18.75" thickBot="1">
      <c r="A90" s="786"/>
      <c r="B90" s="705">
        <v>46255</v>
      </c>
      <c r="C90" s="454">
        <f t="shared" si="14"/>
        <v>245</v>
      </c>
      <c r="D90" s="440">
        <f>'21'!C38</f>
        <v>0</v>
      </c>
      <c r="E90" s="375"/>
      <c r="F90" s="375"/>
      <c r="G90" s="441"/>
      <c r="H90" s="442">
        <f t="shared" si="11"/>
        <v>0</v>
      </c>
      <c r="I90" s="442">
        <f t="shared" si="13"/>
        <v>245</v>
      </c>
      <c r="J90" s="453">
        <f t="shared" si="15"/>
        <v>0</v>
      </c>
      <c r="K90" s="463"/>
      <c r="L90" s="375"/>
      <c r="M90" s="375"/>
      <c r="N90" s="375"/>
      <c r="O90" s="375"/>
      <c r="P90" s="443"/>
      <c r="Q90" s="479">
        <f t="shared" si="12"/>
        <v>0</v>
      </c>
    </row>
    <row r="91" spans="1:17" ht="18.75" thickBot="1">
      <c r="A91" s="786"/>
      <c r="B91" s="705">
        <v>46256</v>
      </c>
      <c r="C91" s="454">
        <f t="shared" si="14"/>
        <v>245</v>
      </c>
      <c r="D91" s="440">
        <f>'22'!C38</f>
        <v>0</v>
      </c>
      <c r="E91" s="375"/>
      <c r="F91" s="375"/>
      <c r="G91" s="443"/>
      <c r="H91" s="442">
        <f t="shared" si="11"/>
        <v>0</v>
      </c>
      <c r="I91" s="442">
        <f t="shared" si="13"/>
        <v>245</v>
      </c>
      <c r="J91" s="453">
        <f t="shared" si="15"/>
        <v>0</v>
      </c>
      <c r="K91" s="463"/>
      <c r="L91" s="375"/>
      <c r="M91" s="375"/>
      <c r="N91" s="375"/>
      <c r="O91" s="375"/>
      <c r="P91" s="443"/>
      <c r="Q91" s="479">
        <f t="shared" si="12"/>
        <v>0</v>
      </c>
    </row>
    <row r="92" spans="1:17" ht="18.75" thickBot="1">
      <c r="A92" s="786"/>
      <c r="B92" s="705">
        <v>46257</v>
      </c>
      <c r="C92" s="454">
        <f t="shared" si="14"/>
        <v>245</v>
      </c>
      <c r="D92" s="440">
        <f>'23'!C38</f>
        <v>0</v>
      </c>
      <c r="E92" s="375"/>
      <c r="F92" s="375"/>
      <c r="G92" s="441"/>
      <c r="H92" s="442">
        <f t="shared" si="11"/>
        <v>0</v>
      </c>
      <c r="I92" s="442">
        <f t="shared" si="13"/>
        <v>245</v>
      </c>
      <c r="J92" s="453">
        <f t="shared" si="15"/>
        <v>0</v>
      </c>
      <c r="K92" s="463"/>
      <c r="L92" s="375"/>
      <c r="M92" s="375"/>
      <c r="N92" s="375"/>
      <c r="O92" s="375"/>
      <c r="P92" s="443"/>
      <c r="Q92" s="479">
        <f t="shared" si="12"/>
        <v>0</v>
      </c>
    </row>
    <row r="93" spans="1:17" ht="18.75" thickBot="1">
      <c r="A93" s="786"/>
      <c r="B93" s="705">
        <v>46258</v>
      </c>
      <c r="C93" s="454">
        <f t="shared" si="14"/>
        <v>245</v>
      </c>
      <c r="D93" s="440">
        <f>'24'!C38</f>
        <v>0</v>
      </c>
      <c r="E93" s="375"/>
      <c r="F93" s="375"/>
      <c r="G93" s="443"/>
      <c r="H93" s="442">
        <f t="shared" si="11"/>
        <v>0</v>
      </c>
      <c r="I93" s="442">
        <f t="shared" si="13"/>
        <v>245</v>
      </c>
      <c r="J93" s="453">
        <f t="shared" si="15"/>
        <v>0</v>
      </c>
      <c r="K93" s="463"/>
      <c r="L93" s="375"/>
      <c r="M93" s="375"/>
      <c r="N93" s="375"/>
      <c r="O93" s="375"/>
      <c r="P93" s="443"/>
      <c r="Q93" s="479">
        <f t="shared" si="12"/>
        <v>0</v>
      </c>
    </row>
    <row r="94" spans="1:17" ht="18">
      <c r="A94" s="786"/>
      <c r="B94" s="705">
        <v>46259</v>
      </c>
      <c r="C94" s="454">
        <f t="shared" si="14"/>
        <v>245</v>
      </c>
      <c r="D94" s="440">
        <f>'25'!C38</f>
        <v>0</v>
      </c>
      <c r="E94" s="375"/>
      <c r="F94" s="375"/>
      <c r="G94" s="443"/>
      <c r="H94" s="442">
        <f t="shared" si="11"/>
        <v>0</v>
      </c>
      <c r="I94" s="442">
        <f t="shared" si="13"/>
        <v>245</v>
      </c>
      <c r="J94" s="453">
        <f t="shared" si="15"/>
        <v>0</v>
      </c>
      <c r="K94" s="463"/>
      <c r="L94" s="375"/>
      <c r="M94" s="375"/>
      <c r="N94" s="375"/>
      <c r="O94" s="375"/>
      <c r="P94" s="443"/>
      <c r="Q94" s="479">
        <f t="shared" si="12"/>
        <v>0</v>
      </c>
    </row>
    <row r="95" spans="1:17" ht="18">
      <c r="A95" s="786"/>
      <c r="B95" s="705">
        <v>46260</v>
      </c>
      <c r="C95" s="454">
        <f t="shared" si="14"/>
        <v>245</v>
      </c>
      <c r="D95" s="440">
        <f>'26'!C38</f>
        <v>0</v>
      </c>
      <c r="E95" s="375"/>
      <c r="F95" s="375"/>
      <c r="G95" s="443"/>
      <c r="H95" s="442">
        <f t="shared" si="11"/>
        <v>0</v>
      </c>
      <c r="I95" s="442">
        <f t="shared" si="13"/>
        <v>245</v>
      </c>
      <c r="J95" s="453">
        <f t="shared" si="15"/>
        <v>0</v>
      </c>
      <c r="K95" s="463"/>
      <c r="L95" s="375"/>
      <c r="M95" s="375"/>
      <c r="N95" s="375"/>
      <c r="O95" s="375"/>
      <c r="P95" s="443"/>
      <c r="Q95" s="479">
        <f t="shared" si="12"/>
        <v>0</v>
      </c>
    </row>
    <row r="96" spans="1:17" ht="18">
      <c r="A96" s="786"/>
      <c r="B96" s="705">
        <v>46261</v>
      </c>
      <c r="C96" s="454">
        <f t="shared" si="14"/>
        <v>245</v>
      </c>
      <c r="D96" s="440">
        <f>'27'!C38</f>
        <v>0</v>
      </c>
      <c r="E96" s="375"/>
      <c r="F96" s="375"/>
      <c r="G96" s="443"/>
      <c r="H96" s="442">
        <f t="shared" si="11"/>
        <v>0</v>
      </c>
      <c r="I96" s="442">
        <f t="shared" si="13"/>
        <v>245</v>
      </c>
      <c r="J96" s="453">
        <f t="shared" si="15"/>
        <v>0</v>
      </c>
      <c r="K96" s="463"/>
      <c r="L96" s="375"/>
      <c r="M96" s="375"/>
      <c r="N96" s="375"/>
      <c r="O96" s="375"/>
      <c r="P96" s="443"/>
      <c r="Q96" s="479">
        <f t="shared" si="12"/>
        <v>0</v>
      </c>
    </row>
    <row r="97" spans="1:17" ht="18">
      <c r="A97" s="786"/>
      <c r="B97" s="705">
        <v>46262</v>
      </c>
      <c r="C97" s="454">
        <f t="shared" si="14"/>
        <v>245</v>
      </c>
      <c r="D97" s="440">
        <f>'28'!C38</f>
        <v>0</v>
      </c>
      <c r="E97" s="375"/>
      <c r="F97" s="375"/>
      <c r="G97" s="443"/>
      <c r="H97" s="442">
        <f t="shared" si="11"/>
        <v>0</v>
      </c>
      <c r="I97" s="442">
        <f t="shared" si="13"/>
        <v>245</v>
      </c>
      <c r="J97" s="453">
        <f t="shared" si="15"/>
        <v>0</v>
      </c>
      <c r="K97" s="463"/>
      <c r="L97" s="375"/>
      <c r="M97" s="375"/>
      <c r="N97" s="375"/>
      <c r="O97" s="375"/>
      <c r="P97" s="443"/>
      <c r="Q97" s="479">
        <f t="shared" si="12"/>
        <v>0</v>
      </c>
    </row>
    <row r="98" spans="1:17" ht="18">
      <c r="A98" s="786"/>
      <c r="B98" s="705">
        <v>46263</v>
      </c>
      <c r="C98" s="454">
        <f t="shared" si="14"/>
        <v>245</v>
      </c>
      <c r="D98" s="440">
        <f>'29'!C38</f>
        <v>0</v>
      </c>
      <c r="E98" s="375"/>
      <c r="F98" s="375"/>
      <c r="G98" s="443"/>
      <c r="H98" s="442">
        <f t="shared" si="11"/>
        <v>0</v>
      </c>
      <c r="I98" s="442">
        <f t="shared" si="13"/>
        <v>245</v>
      </c>
      <c r="J98" s="453">
        <f t="shared" si="15"/>
        <v>0</v>
      </c>
      <c r="K98" s="463"/>
      <c r="L98" s="375"/>
      <c r="M98" s="375"/>
      <c r="N98" s="375"/>
      <c r="O98" s="375"/>
      <c r="P98" s="443"/>
      <c r="Q98" s="479">
        <f t="shared" si="12"/>
        <v>0</v>
      </c>
    </row>
    <row r="99" spans="1:17" ht="18">
      <c r="A99" s="786"/>
      <c r="B99" s="705">
        <v>46264</v>
      </c>
      <c r="C99" s="454">
        <f t="shared" si="14"/>
        <v>245</v>
      </c>
      <c r="D99" s="440">
        <f>'30'!C38</f>
        <v>0</v>
      </c>
      <c r="E99" s="375"/>
      <c r="F99" s="375"/>
      <c r="G99" s="443"/>
      <c r="H99" s="442">
        <f t="shared" si="11"/>
        <v>0</v>
      </c>
      <c r="I99" s="442">
        <f t="shared" si="13"/>
        <v>245</v>
      </c>
      <c r="J99" s="453">
        <f t="shared" si="15"/>
        <v>0</v>
      </c>
      <c r="K99" s="463"/>
      <c r="L99" s="375"/>
      <c r="M99" s="375"/>
      <c r="N99" s="375"/>
      <c r="O99" s="375"/>
      <c r="P99" s="443"/>
      <c r="Q99" s="479">
        <f t="shared" si="12"/>
        <v>0</v>
      </c>
    </row>
    <row r="100" spans="1:17" ht="18">
      <c r="A100" s="786"/>
      <c r="B100" s="705">
        <v>46265</v>
      </c>
      <c r="C100" s="454">
        <f t="shared" si="14"/>
        <v>245</v>
      </c>
      <c r="D100" s="440">
        <f>'31'!C37</f>
        <v>0</v>
      </c>
      <c r="E100" s="375"/>
      <c r="F100" s="375"/>
      <c r="G100" s="443"/>
      <c r="H100" s="442">
        <f t="shared" si="11"/>
        <v>0</v>
      </c>
      <c r="I100" s="442">
        <f t="shared" si="13"/>
        <v>245</v>
      </c>
      <c r="J100" s="453">
        <f t="shared" si="15"/>
        <v>0</v>
      </c>
      <c r="K100" s="463"/>
      <c r="L100" s="375"/>
      <c r="M100" s="375"/>
      <c r="N100" s="375"/>
      <c r="O100" s="375"/>
      <c r="P100" s="443"/>
      <c r="Q100" s="479">
        <f t="shared" si="12"/>
        <v>0</v>
      </c>
    </row>
    <row r="101" spans="1:17" ht="15.75">
      <c r="A101" s="792"/>
      <c r="B101" s="766" t="s">
        <v>75</v>
      </c>
      <c r="C101" s="767"/>
      <c r="D101" s="781"/>
      <c r="E101" s="767"/>
      <c r="F101" s="767"/>
      <c r="G101" s="767"/>
      <c r="H101" s="484">
        <f>SUM(H70:H100)</f>
        <v>75</v>
      </c>
      <c r="I101" s="485"/>
      <c r="J101" s="486"/>
      <c r="K101" s="475">
        <f>SUM(K70:K100)</f>
        <v>0</v>
      </c>
      <c r="L101" s="487"/>
      <c r="M101" s="487">
        <f>SUM(M70:M100)</f>
        <v>0</v>
      </c>
      <c r="N101" s="474"/>
      <c r="O101" s="474"/>
      <c r="P101" s="487"/>
      <c r="Q101" s="481">
        <f t="shared" ref="Q101" si="16">(J101+K101)-M101-L101</f>
        <v>0</v>
      </c>
    </row>
    <row r="102" spans="1:17" ht="18">
      <c r="A102" s="788" t="s">
        <v>76</v>
      </c>
      <c r="B102" s="705">
        <v>46235</v>
      </c>
      <c r="C102" s="450">
        <f>'1'!B38</f>
        <v>105</v>
      </c>
      <c r="D102" s="440">
        <f>'1'!C38</f>
        <v>0</v>
      </c>
      <c r="E102" s="451"/>
      <c r="F102" s="451"/>
      <c r="G102" s="467"/>
      <c r="H102" s="442">
        <f t="shared" si="11"/>
        <v>0</v>
      </c>
      <c r="I102" s="442">
        <f>C102+D102-H102</f>
        <v>105</v>
      </c>
      <c r="J102" s="458">
        <v>0</v>
      </c>
      <c r="K102" s="478"/>
      <c r="L102" s="451"/>
      <c r="M102" s="451"/>
      <c r="N102" s="465"/>
      <c r="O102" s="451"/>
      <c r="P102" s="467"/>
      <c r="Q102" s="479">
        <f>J102+K102-L102-M102</f>
        <v>0</v>
      </c>
    </row>
    <row r="103" spans="1:17" s="405" customFormat="1" ht="18">
      <c r="A103" s="789"/>
      <c r="B103" s="705">
        <v>46236</v>
      </c>
      <c r="C103" s="450">
        <f>I102</f>
        <v>105</v>
      </c>
      <c r="D103" s="440">
        <f>'2'!C38</f>
        <v>0</v>
      </c>
      <c r="E103" s="375">
        <v>2</v>
      </c>
      <c r="F103" s="375"/>
      <c r="G103" s="443" t="s">
        <v>206</v>
      </c>
      <c r="H103" s="442">
        <f t="shared" si="11"/>
        <v>2</v>
      </c>
      <c r="I103" s="442">
        <f t="shared" ref="I103:I132" si="17">C103+D103-H103</f>
        <v>103</v>
      </c>
      <c r="J103" s="453">
        <f>Q102</f>
        <v>0</v>
      </c>
      <c r="K103" s="463"/>
      <c r="L103" s="375"/>
      <c r="M103" s="375"/>
      <c r="N103" s="464"/>
      <c r="O103" s="375"/>
      <c r="P103" s="443"/>
      <c r="Q103" s="479">
        <f t="shared" ref="Q103:Q132" si="18">J103+K103-L103-M103</f>
        <v>0</v>
      </c>
    </row>
    <row r="104" spans="1:17" ht="18">
      <c r="A104" s="789"/>
      <c r="B104" s="705">
        <v>46237</v>
      </c>
      <c r="C104" s="450">
        <f t="shared" ref="C104:C132" si="19">I103</f>
        <v>103</v>
      </c>
      <c r="D104" s="440">
        <f>'3'!C38</f>
        <v>0</v>
      </c>
      <c r="E104" s="375"/>
      <c r="F104" s="375"/>
      <c r="G104" s="443"/>
      <c r="H104" s="442">
        <f t="shared" si="11"/>
        <v>0</v>
      </c>
      <c r="I104" s="442">
        <f t="shared" si="17"/>
        <v>103</v>
      </c>
      <c r="J104" s="442">
        <f t="shared" ref="J104:J132" si="20">Q103</f>
        <v>0</v>
      </c>
      <c r="K104" s="463"/>
      <c r="L104" s="375"/>
      <c r="M104" s="375"/>
      <c r="N104" s="375"/>
      <c r="O104" s="375"/>
      <c r="P104" s="443"/>
      <c r="Q104" s="479">
        <f t="shared" si="18"/>
        <v>0</v>
      </c>
    </row>
    <row r="105" spans="1:17" ht="18">
      <c r="A105" s="789"/>
      <c r="B105" s="705">
        <v>46238</v>
      </c>
      <c r="C105" s="450">
        <f t="shared" si="19"/>
        <v>103</v>
      </c>
      <c r="D105" s="440">
        <f>'4'!C38</f>
        <v>0</v>
      </c>
      <c r="E105" s="375"/>
      <c r="F105" s="375"/>
      <c r="G105" s="443"/>
      <c r="H105" s="442">
        <f t="shared" si="11"/>
        <v>0</v>
      </c>
      <c r="I105" s="442">
        <f t="shared" si="17"/>
        <v>103</v>
      </c>
      <c r="J105" s="442">
        <f t="shared" si="20"/>
        <v>0</v>
      </c>
      <c r="K105" s="463" t="s">
        <v>70</v>
      </c>
      <c r="L105" s="375"/>
      <c r="M105" s="375"/>
      <c r="N105" s="464"/>
      <c r="O105" s="375"/>
      <c r="P105" s="443"/>
      <c r="Q105" s="479">
        <f>J102+K102-L102-M102</f>
        <v>0</v>
      </c>
    </row>
    <row r="106" spans="1:17" ht="18">
      <c r="A106" s="789"/>
      <c r="B106" s="705">
        <v>46239</v>
      </c>
      <c r="C106" s="450">
        <f t="shared" si="19"/>
        <v>103</v>
      </c>
      <c r="D106" s="440">
        <f>'5'!C39</f>
        <v>0</v>
      </c>
      <c r="E106" s="375"/>
      <c r="F106" s="375">
        <v>5</v>
      </c>
      <c r="G106" s="443" t="s">
        <v>211</v>
      </c>
      <c r="H106" s="442">
        <f t="shared" si="11"/>
        <v>5</v>
      </c>
      <c r="I106" s="442">
        <f t="shared" si="17"/>
        <v>98</v>
      </c>
      <c r="J106" s="442">
        <f t="shared" si="20"/>
        <v>0</v>
      </c>
      <c r="K106" s="463"/>
      <c r="L106" s="375"/>
      <c r="M106" s="375"/>
      <c r="N106" s="375"/>
      <c r="O106" s="375"/>
      <c r="P106" s="443"/>
      <c r="Q106" s="479">
        <f t="shared" si="18"/>
        <v>0</v>
      </c>
    </row>
    <row r="107" spans="1:17" ht="18">
      <c r="A107" s="789"/>
      <c r="B107" s="705">
        <v>46240</v>
      </c>
      <c r="C107" s="450">
        <f t="shared" si="19"/>
        <v>98</v>
      </c>
      <c r="D107" s="440">
        <f>'6'!C38</f>
        <v>0</v>
      </c>
      <c r="E107" s="375"/>
      <c r="F107" s="375"/>
      <c r="G107" s="443"/>
      <c r="H107" s="442">
        <f t="shared" si="11"/>
        <v>0</v>
      </c>
      <c r="I107" s="442">
        <f t="shared" si="17"/>
        <v>98</v>
      </c>
      <c r="J107" s="442">
        <f t="shared" si="20"/>
        <v>0</v>
      </c>
      <c r="K107" s="463"/>
      <c r="L107" s="375"/>
      <c r="M107" s="375"/>
      <c r="N107" s="375"/>
      <c r="O107" s="375"/>
      <c r="P107" s="443"/>
      <c r="Q107" s="479">
        <f t="shared" si="18"/>
        <v>0</v>
      </c>
    </row>
    <row r="108" spans="1:17" ht="18">
      <c r="A108" s="789"/>
      <c r="B108" s="705">
        <v>46241</v>
      </c>
      <c r="C108" s="450">
        <f t="shared" si="19"/>
        <v>98</v>
      </c>
      <c r="D108" s="440">
        <f>'7'!C39</f>
        <v>0</v>
      </c>
      <c r="E108" s="375"/>
      <c r="F108" s="375">
        <v>50</v>
      </c>
      <c r="G108" s="443" t="s">
        <v>209</v>
      </c>
      <c r="H108" s="442">
        <f t="shared" si="11"/>
        <v>50</v>
      </c>
      <c r="I108" s="442">
        <f t="shared" si="17"/>
        <v>48</v>
      </c>
      <c r="J108" s="442">
        <f t="shared" si="20"/>
        <v>0</v>
      </c>
      <c r="K108" s="463"/>
      <c r="L108" s="375"/>
      <c r="M108" s="375"/>
      <c r="N108" s="464"/>
      <c r="O108" s="375"/>
      <c r="P108" s="443"/>
      <c r="Q108" s="479">
        <f t="shared" si="18"/>
        <v>0</v>
      </c>
    </row>
    <row r="109" spans="1:17" ht="18">
      <c r="A109" s="789"/>
      <c r="B109" s="705">
        <v>46242</v>
      </c>
      <c r="C109" s="450">
        <f t="shared" si="19"/>
        <v>48</v>
      </c>
      <c r="D109" s="440">
        <f>'8'!C39</f>
        <v>0</v>
      </c>
      <c r="E109" s="471"/>
      <c r="F109" s="471">
        <v>5</v>
      </c>
      <c r="G109" s="443" t="s">
        <v>217</v>
      </c>
      <c r="H109" s="442">
        <f t="shared" si="11"/>
        <v>5</v>
      </c>
      <c r="I109" s="442">
        <f t="shared" si="17"/>
        <v>43</v>
      </c>
      <c r="J109" s="442">
        <f t="shared" si="20"/>
        <v>0</v>
      </c>
      <c r="K109" s="470"/>
      <c r="L109" s="471"/>
      <c r="M109" s="471"/>
      <c r="N109" s="488"/>
      <c r="O109" s="471"/>
      <c r="P109" s="472"/>
      <c r="Q109" s="479">
        <f t="shared" si="18"/>
        <v>0</v>
      </c>
    </row>
    <row r="110" spans="1:17" ht="18.75" thickBot="1">
      <c r="A110" s="789"/>
      <c r="B110" s="705">
        <v>46243</v>
      </c>
      <c r="C110" s="450">
        <f t="shared" si="19"/>
        <v>43</v>
      </c>
      <c r="D110" s="440">
        <f>'9'!C39</f>
        <v>0</v>
      </c>
      <c r="E110" s="471"/>
      <c r="F110" s="471"/>
      <c r="G110" s="443"/>
      <c r="H110" s="442">
        <f t="shared" si="11"/>
        <v>0</v>
      </c>
      <c r="I110" s="442">
        <f t="shared" si="17"/>
        <v>43</v>
      </c>
      <c r="J110" s="442">
        <f t="shared" si="20"/>
        <v>0</v>
      </c>
      <c r="K110" s="470"/>
      <c r="L110" s="471"/>
      <c r="M110" s="471"/>
      <c r="N110" s="488"/>
      <c r="O110" s="471"/>
      <c r="P110" s="472"/>
      <c r="Q110" s="479">
        <f t="shared" si="18"/>
        <v>0</v>
      </c>
    </row>
    <row r="111" spans="1:17" ht="18.75" thickBot="1">
      <c r="A111" s="789"/>
      <c r="B111" s="705">
        <v>46244</v>
      </c>
      <c r="C111" s="450">
        <f t="shared" si="19"/>
        <v>43</v>
      </c>
      <c r="D111" s="440">
        <f>'10'!C39</f>
        <v>0</v>
      </c>
      <c r="E111" s="471"/>
      <c r="F111" s="471"/>
      <c r="G111" s="441"/>
      <c r="H111" s="442">
        <f t="shared" si="11"/>
        <v>0</v>
      </c>
      <c r="I111" s="442">
        <f t="shared" si="17"/>
        <v>43</v>
      </c>
      <c r="J111" s="442">
        <f t="shared" si="20"/>
        <v>0</v>
      </c>
      <c r="K111" s="470"/>
      <c r="L111" s="471"/>
      <c r="M111" s="471"/>
      <c r="N111" s="488"/>
      <c r="O111" s="471"/>
      <c r="P111" s="472"/>
      <c r="Q111" s="479">
        <f t="shared" si="18"/>
        <v>0</v>
      </c>
    </row>
    <row r="112" spans="1:17" ht="18.75" thickBot="1">
      <c r="A112" s="789"/>
      <c r="B112" s="705">
        <v>46245</v>
      </c>
      <c r="C112" s="450">
        <f t="shared" si="19"/>
        <v>43</v>
      </c>
      <c r="D112" s="440">
        <f>'11'!C39</f>
        <v>0</v>
      </c>
      <c r="E112" s="471"/>
      <c r="F112" s="471"/>
      <c r="G112" s="443"/>
      <c r="H112" s="442">
        <f t="shared" si="11"/>
        <v>0</v>
      </c>
      <c r="I112" s="442">
        <f t="shared" si="17"/>
        <v>43</v>
      </c>
      <c r="J112" s="442">
        <f t="shared" si="20"/>
        <v>0</v>
      </c>
      <c r="K112" s="470"/>
      <c r="L112" s="471"/>
      <c r="M112" s="471"/>
      <c r="N112" s="488"/>
      <c r="O112" s="471"/>
      <c r="P112" s="472"/>
      <c r="Q112" s="479">
        <f t="shared" si="18"/>
        <v>0</v>
      </c>
    </row>
    <row r="113" spans="1:17" ht="18.75" thickBot="1">
      <c r="A113" s="789"/>
      <c r="B113" s="705">
        <v>46246</v>
      </c>
      <c r="C113" s="450">
        <f t="shared" si="19"/>
        <v>43</v>
      </c>
      <c r="D113" s="440">
        <f>'12'!C39</f>
        <v>0</v>
      </c>
      <c r="E113" s="471"/>
      <c r="F113" s="471"/>
      <c r="G113" s="441"/>
      <c r="H113" s="442">
        <f t="shared" si="11"/>
        <v>0</v>
      </c>
      <c r="I113" s="442">
        <f t="shared" si="17"/>
        <v>43</v>
      </c>
      <c r="J113" s="442">
        <f t="shared" si="20"/>
        <v>0</v>
      </c>
      <c r="K113" s="470"/>
      <c r="L113" s="471"/>
      <c r="M113" s="471"/>
      <c r="N113" s="488"/>
      <c r="O113" s="471"/>
      <c r="P113" s="472"/>
      <c r="Q113" s="479">
        <f t="shared" si="18"/>
        <v>0</v>
      </c>
    </row>
    <row r="114" spans="1:17" ht="18.75" thickBot="1">
      <c r="A114" s="789"/>
      <c r="B114" s="705">
        <v>46247</v>
      </c>
      <c r="C114" s="450">
        <f t="shared" si="19"/>
        <v>43</v>
      </c>
      <c r="D114" s="440">
        <f>'13'!C39</f>
        <v>0</v>
      </c>
      <c r="E114" s="471"/>
      <c r="F114" s="471"/>
      <c r="G114" s="695"/>
      <c r="H114" s="442">
        <f t="shared" si="11"/>
        <v>0</v>
      </c>
      <c r="I114" s="442">
        <f t="shared" si="17"/>
        <v>43</v>
      </c>
      <c r="J114" s="442">
        <f t="shared" si="20"/>
        <v>0</v>
      </c>
      <c r="K114" s="470"/>
      <c r="L114" s="471"/>
      <c r="M114" s="471"/>
      <c r="N114" s="488"/>
      <c r="O114" s="471"/>
      <c r="P114" s="472"/>
      <c r="Q114" s="479">
        <f t="shared" si="18"/>
        <v>0</v>
      </c>
    </row>
    <row r="115" spans="1:17" ht="18">
      <c r="A115" s="789"/>
      <c r="B115" s="705">
        <v>46248</v>
      </c>
      <c r="C115" s="450">
        <f t="shared" si="19"/>
        <v>43</v>
      </c>
      <c r="D115" s="440">
        <f>'14'!C39</f>
        <v>0</v>
      </c>
      <c r="E115" s="471"/>
      <c r="F115" s="471">
        <v>10</v>
      </c>
      <c r="G115" s="443" t="s">
        <v>209</v>
      </c>
      <c r="H115" s="442">
        <f t="shared" si="11"/>
        <v>10</v>
      </c>
      <c r="I115" s="442">
        <f t="shared" si="17"/>
        <v>33</v>
      </c>
      <c r="J115" s="442">
        <f t="shared" si="20"/>
        <v>0</v>
      </c>
      <c r="K115" s="470"/>
      <c r="L115" s="471"/>
      <c r="M115" s="471"/>
      <c r="N115" s="488"/>
      <c r="O115" s="471"/>
      <c r="P115" s="472"/>
      <c r="Q115" s="479">
        <f t="shared" si="18"/>
        <v>0</v>
      </c>
    </row>
    <row r="116" spans="1:17" ht="18">
      <c r="A116" s="789"/>
      <c r="B116" s="705">
        <v>46249</v>
      </c>
      <c r="C116" s="450">
        <f t="shared" si="19"/>
        <v>33</v>
      </c>
      <c r="D116" s="440">
        <f>'15'!C39</f>
        <v>0</v>
      </c>
      <c r="E116" s="471"/>
      <c r="F116" s="471"/>
      <c r="G116" s="441"/>
      <c r="H116" s="442">
        <f t="shared" si="11"/>
        <v>0</v>
      </c>
      <c r="I116" s="442">
        <f t="shared" si="17"/>
        <v>33</v>
      </c>
      <c r="J116" s="442">
        <f t="shared" si="20"/>
        <v>0</v>
      </c>
      <c r="K116" s="470"/>
      <c r="L116" s="471"/>
      <c r="M116" s="471"/>
      <c r="N116" s="488"/>
      <c r="O116" s="471"/>
      <c r="P116" s="472"/>
      <c r="Q116" s="479">
        <f t="shared" si="18"/>
        <v>0</v>
      </c>
    </row>
    <row r="117" spans="1:17" ht="18">
      <c r="A117" s="789"/>
      <c r="B117" s="705">
        <v>46250</v>
      </c>
      <c r="C117" s="450">
        <f t="shared" si="19"/>
        <v>33</v>
      </c>
      <c r="D117" s="440">
        <f>'16'!C39</f>
        <v>0</v>
      </c>
      <c r="E117" s="471"/>
      <c r="F117" s="471">
        <v>25</v>
      </c>
      <c r="G117" s="443" t="s">
        <v>209</v>
      </c>
      <c r="H117" s="442">
        <f t="shared" si="11"/>
        <v>25</v>
      </c>
      <c r="I117" s="442">
        <f t="shared" si="17"/>
        <v>8</v>
      </c>
      <c r="J117" s="442">
        <f t="shared" si="20"/>
        <v>0</v>
      </c>
      <c r="K117" s="470"/>
      <c r="L117" s="471"/>
      <c r="M117" s="471"/>
      <c r="N117" s="488"/>
      <c r="O117" s="471"/>
      <c r="P117" s="472"/>
      <c r="Q117" s="479">
        <f t="shared" si="18"/>
        <v>0</v>
      </c>
    </row>
    <row r="118" spans="1:17" ht="18">
      <c r="A118" s="789"/>
      <c r="B118" s="705">
        <v>46251</v>
      </c>
      <c r="C118" s="450">
        <f t="shared" si="19"/>
        <v>8</v>
      </c>
      <c r="D118" s="440">
        <f>'17'!C39</f>
        <v>0</v>
      </c>
      <c r="E118" s="471"/>
      <c r="F118" s="471"/>
      <c r="G118" s="443"/>
      <c r="H118" s="442">
        <f t="shared" si="11"/>
        <v>0</v>
      </c>
      <c r="I118" s="442">
        <f t="shared" si="17"/>
        <v>8</v>
      </c>
      <c r="J118" s="442">
        <f t="shared" si="20"/>
        <v>0</v>
      </c>
      <c r="K118" s="470"/>
      <c r="L118" s="471"/>
      <c r="M118" s="471"/>
      <c r="N118" s="488"/>
      <c r="O118" s="471"/>
      <c r="P118" s="472"/>
      <c r="Q118" s="479">
        <f t="shared" si="18"/>
        <v>0</v>
      </c>
    </row>
    <row r="119" spans="1:17" ht="18">
      <c r="A119" s="789"/>
      <c r="B119" s="705">
        <v>46252</v>
      </c>
      <c r="C119" s="450">
        <f t="shared" si="19"/>
        <v>8</v>
      </c>
      <c r="D119" s="440">
        <f>'18'!C39</f>
        <v>0</v>
      </c>
      <c r="E119" s="471"/>
      <c r="F119" s="471"/>
      <c r="G119" s="443"/>
      <c r="H119" s="442">
        <f t="shared" si="11"/>
        <v>0</v>
      </c>
      <c r="I119" s="442">
        <f t="shared" si="17"/>
        <v>8</v>
      </c>
      <c r="J119" s="442">
        <f t="shared" si="20"/>
        <v>0</v>
      </c>
      <c r="K119" s="470"/>
      <c r="L119" s="471"/>
      <c r="M119" s="471"/>
      <c r="N119" s="488"/>
      <c r="O119" s="471"/>
      <c r="P119" s="472"/>
      <c r="Q119" s="479">
        <f t="shared" si="18"/>
        <v>0</v>
      </c>
    </row>
    <row r="120" spans="1:17" ht="18">
      <c r="A120" s="789"/>
      <c r="B120" s="705">
        <v>46253</v>
      </c>
      <c r="C120" s="450">
        <f t="shared" si="19"/>
        <v>8</v>
      </c>
      <c r="D120" s="440">
        <f>'19'!C39</f>
        <v>0</v>
      </c>
      <c r="E120" s="471"/>
      <c r="F120" s="471"/>
      <c r="G120" s="443"/>
      <c r="H120" s="442">
        <f t="shared" si="11"/>
        <v>0</v>
      </c>
      <c r="I120" s="442">
        <f t="shared" si="17"/>
        <v>8</v>
      </c>
      <c r="J120" s="442">
        <f t="shared" si="20"/>
        <v>0</v>
      </c>
      <c r="K120" s="470"/>
      <c r="L120" s="471"/>
      <c r="M120" s="471"/>
      <c r="N120" s="488"/>
      <c r="O120" s="471"/>
      <c r="P120" s="472"/>
      <c r="Q120" s="479">
        <f t="shared" si="18"/>
        <v>0</v>
      </c>
    </row>
    <row r="121" spans="1:17" ht="18">
      <c r="A121" s="789"/>
      <c r="B121" s="705">
        <v>46254</v>
      </c>
      <c r="C121" s="450">
        <f t="shared" si="19"/>
        <v>8</v>
      </c>
      <c r="D121" s="440">
        <f>'20'!C39</f>
        <v>0</v>
      </c>
      <c r="E121" s="471"/>
      <c r="F121" s="471">
        <v>5</v>
      </c>
      <c r="G121" s="443" t="s">
        <v>209</v>
      </c>
      <c r="H121" s="442">
        <f t="shared" si="11"/>
        <v>5</v>
      </c>
      <c r="I121" s="442">
        <f t="shared" si="17"/>
        <v>3</v>
      </c>
      <c r="J121" s="442">
        <f t="shared" si="20"/>
        <v>0</v>
      </c>
      <c r="K121" s="470"/>
      <c r="L121" s="471"/>
      <c r="M121" s="471"/>
      <c r="N121" s="488"/>
      <c r="O121" s="471"/>
      <c r="P121" s="472"/>
      <c r="Q121" s="479">
        <f t="shared" si="18"/>
        <v>0</v>
      </c>
    </row>
    <row r="122" spans="1:17" ht="18">
      <c r="A122" s="789"/>
      <c r="B122" s="705">
        <v>46255</v>
      </c>
      <c r="C122" s="450">
        <f t="shared" si="19"/>
        <v>3</v>
      </c>
      <c r="D122" s="440">
        <f>'21'!C39</f>
        <v>0</v>
      </c>
      <c r="E122" s="471"/>
      <c r="F122" s="471"/>
      <c r="G122" s="443"/>
      <c r="H122" s="442">
        <f t="shared" si="11"/>
        <v>0</v>
      </c>
      <c r="I122" s="442">
        <f t="shared" si="17"/>
        <v>3</v>
      </c>
      <c r="J122" s="442">
        <f t="shared" si="20"/>
        <v>0</v>
      </c>
      <c r="K122" s="470"/>
      <c r="L122" s="471"/>
      <c r="M122" s="471"/>
      <c r="N122" s="488"/>
      <c r="O122" s="471"/>
      <c r="P122" s="472"/>
      <c r="Q122" s="479">
        <f t="shared" si="18"/>
        <v>0</v>
      </c>
    </row>
    <row r="123" spans="1:17" ht="18">
      <c r="A123" s="789"/>
      <c r="B123" s="705">
        <v>46256</v>
      </c>
      <c r="C123" s="450">
        <f t="shared" si="19"/>
        <v>3</v>
      </c>
      <c r="D123" s="440">
        <f>'22'!C39</f>
        <v>0</v>
      </c>
      <c r="E123" s="471"/>
      <c r="F123" s="471"/>
      <c r="G123" s="443"/>
      <c r="H123" s="442">
        <f t="shared" si="11"/>
        <v>0</v>
      </c>
      <c r="I123" s="442">
        <f t="shared" si="17"/>
        <v>3</v>
      </c>
      <c r="J123" s="442">
        <f t="shared" si="20"/>
        <v>0</v>
      </c>
      <c r="K123" s="470"/>
      <c r="L123" s="471"/>
      <c r="M123" s="471"/>
      <c r="N123" s="488"/>
      <c r="O123" s="471"/>
      <c r="P123" s="472"/>
      <c r="Q123" s="479">
        <f t="shared" si="18"/>
        <v>0</v>
      </c>
    </row>
    <row r="124" spans="1:17" ht="18">
      <c r="A124" s="789"/>
      <c r="B124" s="705">
        <v>46257</v>
      </c>
      <c r="C124" s="450">
        <f t="shared" si="19"/>
        <v>3</v>
      </c>
      <c r="D124" s="440">
        <f>'23'!C39</f>
        <v>0</v>
      </c>
      <c r="E124" s="471"/>
      <c r="F124" s="471"/>
      <c r="G124" s="663"/>
      <c r="H124" s="442">
        <f t="shared" si="11"/>
        <v>0</v>
      </c>
      <c r="I124" s="442">
        <f t="shared" si="17"/>
        <v>3</v>
      </c>
      <c r="J124" s="442">
        <f t="shared" si="20"/>
        <v>0</v>
      </c>
      <c r="K124" s="470"/>
      <c r="L124" s="471"/>
      <c r="M124" s="471"/>
      <c r="N124" s="488"/>
      <c r="O124" s="471"/>
      <c r="P124" s="472"/>
      <c r="Q124" s="479">
        <f t="shared" si="18"/>
        <v>0</v>
      </c>
    </row>
    <row r="125" spans="1:17" ht="18">
      <c r="A125" s="789"/>
      <c r="B125" s="705">
        <v>46258</v>
      </c>
      <c r="C125" s="450">
        <f t="shared" si="19"/>
        <v>3</v>
      </c>
      <c r="D125" s="440">
        <f>'24'!C39</f>
        <v>0</v>
      </c>
      <c r="E125" s="471"/>
      <c r="F125" s="471"/>
      <c r="G125" s="675"/>
      <c r="H125" s="442">
        <f t="shared" si="11"/>
        <v>0</v>
      </c>
      <c r="I125" s="442">
        <f t="shared" si="17"/>
        <v>3</v>
      </c>
      <c r="J125" s="442">
        <f t="shared" si="20"/>
        <v>0</v>
      </c>
      <c r="K125" s="470"/>
      <c r="L125" s="471"/>
      <c r="M125" s="471"/>
      <c r="N125" s="488"/>
      <c r="O125" s="471"/>
      <c r="P125" s="472"/>
      <c r="Q125" s="479">
        <f t="shared" si="18"/>
        <v>0</v>
      </c>
    </row>
    <row r="126" spans="1:17" ht="18">
      <c r="A126" s="789"/>
      <c r="B126" s="705">
        <v>46259</v>
      </c>
      <c r="C126" s="450">
        <f t="shared" si="19"/>
        <v>3</v>
      </c>
      <c r="D126" s="440">
        <f>'25'!C39</f>
        <v>0</v>
      </c>
      <c r="E126" s="471"/>
      <c r="F126" s="471"/>
      <c r="G126" s="443"/>
      <c r="H126" s="442">
        <f t="shared" si="11"/>
        <v>0</v>
      </c>
      <c r="I126" s="442">
        <f t="shared" si="17"/>
        <v>3</v>
      </c>
      <c r="J126" s="442">
        <f t="shared" si="20"/>
        <v>0</v>
      </c>
      <c r="K126" s="470"/>
      <c r="L126" s="471"/>
      <c r="M126" s="471"/>
      <c r="N126" s="488"/>
      <c r="O126" s="471"/>
      <c r="P126" s="472"/>
      <c r="Q126" s="479">
        <f t="shared" si="18"/>
        <v>0</v>
      </c>
    </row>
    <row r="127" spans="1:17" ht="18">
      <c r="A127" s="789"/>
      <c r="B127" s="705">
        <v>46260</v>
      </c>
      <c r="C127" s="450">
        <f t="shared" si="19"/>
        <v>3</v>
      </c>
      <c r="D127" s="440">
        <f>'26'!C39</f>
        <v>0</v>
      </c>
      <c r="E127" s="471"/>
      <c r="F127" s="471"/>
      <c r="G127" s="443"/>
      <c r="H127" s="442">
        <f t="shared" si="11"/>
        <v>0</v>
      </c>
      <c r="I127" s="442">
        <f t="shared" si="17"/>
        <v>3</v>
      </c>
      <c r="J127" s="442">
        <f t="shared" si="20"/>
        <v>0</v>
      </c>
      <c r="K127" s="470"/>
      <c r="L127" s="471"/>
      <c r="M127" s="471"/>
      <c r="N127" s="488"/>
      <c r="O127" s="471"/>
      <c r="P127" s="472"/>
      <c r="Q127" s="479">
        <f t="shared" si="18"/>
        <v>0</v>
      </c>
    </row>
    <row r="128" spans="1:17" ht="18">
      <c r="A128" s="789"/>
      <c r="B128" s="705">
        <v>46261</v>
      </c>
      <c r="C128" s="450">
        <f t="shared" si="19"/>
        <v>3</v>
      </c>
      <c r="D128" s="440">
        <f>'27'!C39</f>
        <v>0</v>
      </c>
      <c r="E128" s="471"/>
      <c r="F128" s="471"/>
      <c r="G128" s="443"/>
      <c r="H128" s="442">
        <f t="shared" si="11"/>
        <v>0</v>
      </c>
      <c r="I128" s="442">
        <f t="shared" si="17"/>
        <v>3</v>
      </c>
      <c r="J128" s="442">
        <f t="shared" si="20"/>
        <v>0</v>
      </c>
      <c r="K128" s="470"/>
      <c r="L128" s="471"/>
      <c r="M128" s="471"/>
      <c r="N128" s="488"/>
      <c r="O128" s="471"/>
      <c r="P128" s="472"/>
      <c r="Q128" s="479">
        <f t="shared" si="18"/>
        <v>0</v>
      </c>
    </row>
    <row r="129" spans="1:17" ht="18">
      <c r="A129" s="789"/>
      <c r="B129" s="705">
        <v>46262</v>
      </c>
      <c r="C129" s="450">
        <f t="shared" si="19"/>
        <v>3</v>
      </c>
      <c r="D129" s="440">
        <f>'28'!C39</f>
        <v>0</v>
      </c>
      <c r="E129" s="471"/>
      <c r="F129" s="471"/>
      <c r="G129" s="675"/>
      <c r="H129" s="442">
        <f t="shared" si="11"/>
        <v>0</v>
      </c>
      <c r="I129" s="442">
        <f t="shared" si="17"/>
        <v>3</v>
      </c>
      <c r="J129" s="442">
        <f t="shared" si="20"/>
        <v>0</v>
      </c>
      <c r="K129" s="470"/>
      <c r="L129" s="471"/>
      <c r="M129" s="471"/>
      <c r="N129" s="488"/>
      <c r="O129" s="471"/>
      <c r="P129" s="472"/>
      <c r="Q129" s="479">
        <f t="shared" si="18"/>
        <v>0</v>
      </c>
    </row>
    <row r="130" spans="1:17" ht="18">
      <c r="A130" s="789"/>
      <c r="B130" s="705">
        <v>46263</v>
      </c>
      <c r="C130" s="450">
        <f t="shared" si="19"/>
        <v>3</v>
      </c>
      <c r="D130" s="440">
        <f>'29'!C39</f>
        <v>0</v>
      </c>
      <c r="E130" s="471"/>
      <c r="F130" s="471"/>
      <c r="G130" s="443"/>
      <c r="H130" s="442">
        <f t="shared" si="11"/>
        <v>0</v>
      </c>
      <c r="I130" s="442">
        <f t="shared" si="17"/>
        <v>3</v>
      </c>
      <c r="J130" s="442">
        <f t="shared" si="20"/>
        <v>0</v>
      </c>
      <c r="K130" s="470"/>
      <c r="L130" s="471"/>
      <c r="M130" s="471"/>
      <c r="N130" s="488"/>
      <c r="O130" s="471"/>
      <c r="P130" s="472"/>
      <c r="Q130" s="479">
        <f t="shared" si="18"/>
        <v>0</v>
      </c>
    </row>
    <row r="131" spans="1:17" ht="18.75" thickBot="1">
      <c r="A131" s="789"/>
      <c r="B131" s="705">
        <v>46264</v>
      </c>
      <c r="C131" s="450">
        <f t="shared" si="19"/>
        <v>3</v>
      </c>
      <c r="D131" s="440">
        <f>'30'!C39</f>
        <v>0</v>
      </c>
      <c r="E131" s="471"/>
      <c r="F131" s="471"/>
      <c r="G131" s="443"/>
      <c r="H131" s="442">
        <f t="shared" si="11"/>
        <v>0</v>
      </c>
      <c r="I131" s="442">
        <f t="shared" si="17"/>
        <v>3</v>
      </c>
      <c r="J131" s="442">
        <f t="shared" si="20"/>
        <v>0</v>
      </c>
      <c r="K131" s="470"/>
      <c r="L131" s="471"/>
      <c r="M131" s="471"/>
      <c r="N131" s="488"/>
      <c r="O131" s="471"/>
      <c r="P131" s="472"/>
      <c r="Q131" s="479">
        <f t="shared" si="18"/>
        <v>0</v>
      </c>
    </row>
    <row r="132" spans="1:17" ht="18.75" thickBot="1">
      <c r="A132" s="789"/>
      <c r="B132" s="705">
        <v>46265</v>
      </c>
      <c r="C132" s="450">
        <f t="shared" si="19"/>
        <v>3</v>
      </c>
      <c r="D132" s="440">
        <f>'31'!C38</f>
        <v>0</v>
      </c>
      <c r="E132" s="471"/>
      <c r="F132" s="471"/>
      <c r="G132" s="447"/>
      <c r="H132" s="442">
        <f t="shared" si="11"/>
        <v>0</v>
      </c>
      <c r="I132" s="442">
        <f t="shared" si="17"/>
        <v>3</v>
      </c>
      <c r="J132" s="442">
        <f t="shared" si="20"/>
        <v>0</v>
      </c>
      <c r="K132" s="470"/>
      <c r="L132" s="471"/>
      <c r="M132" s="471"/>
      <c r="N132" s="488"/>
      <c r="O132" s="471"/>
      <c r="P132" s="472"/>
      <c r="Q132" s="479">
        <f t="shared" si="18"/>
        <v>0</v>
      </c>
    </row>
    <row r="133" spans="1:17" ht="16.5" thickBot="1">
      <c r="A133" s="791"/>
      <c r="B133" s="766" t="s">
        <v>77</v>
      </c>
      <c r="C133" s="767"/>
      <c r="D133" s="781"/>
      <c r="E133" s="767"/>
      <c r="F133" s="767"/>
      <c r="G133" s="767"/>
      <c r="H133" s="489">
        <f>SUM(H102:H132)</f>
        <v>102</v>
      </c>
      <c r="I133" s="485"/>
      <c r="J133" s="486"/>
      <c r="K133" s="475">
        <f>SUM(K102:K132)</f>
        <v>0</v>
      </c>
      <c r="L133" s="487"/>
      <c r="M133" s="487">
        <f>SUM(M102:M132)</f>
        <v>0</v>
      </c>
      <c r="N133" s="474"/>
      <c r="O133" s="474"/>
      <c r="P133" s="487"/>
      <c r="Q133" s="481"/>
    </row>
    <row r="134" spans="1:17" ht="18">
      <c r="A134" s="788" t="s">
        <v>78</v>
      </c>
      <c r="B134" s="705">
        <v>46235</v>
      </c>
      <c r="C134" s="490">
        <f>'1'!B41</f>
        <v>190</v>
      </c>
      <c r="D134" s="440">
        <f>'1'!C41</f>
        <v>0</v>
      </c>
      <c r="E134" s="451"/>
      <c r="F134" s="451"/>
      <c r="G134" s="452"/>
      <c r="H134" s="442">
        <f t="shared" si="11"/>
        <v>0</v>
      </c>
      <c r="I134" s="442">
        <f>C134+D134-H134</f>
        <v>190</v>
      </c>
      <c r="J134" s="458">
        <v>0</v>
      </c>
      <c r="K134" s="478"/>
      <c r="L134" s="451"/>
      <c r="M134" s="451"/>
      <c r="N134" s="465"/>
      <c r="O134" s="451"/>
      <c r="P134" s="467"/>
      <c r="Q134" s="479">
        <f t="shared" si="12"/>
        <v>0</v>
      </c>
    </row>
    <row r="135" spans="1:17" ht="18">
      <c r="A135" s="789"/>
      <c r="B135" s="705">
        <v>46236</v>
      </c>
      <c r="C135" s="454">
        <f t="shared" ref="C135:C164" si="21">I134</f>
        <v>190</v>
      </c>
      <c r="D135" s="440">
        <f>'2'!C41</f>
        <v>0</v>
      </c>
      <c r="E135" s="375"/>
      <c r="F135" s="451"/>
      <c r="G135" s="452"/>
      <c r="H135" s="442">
        <f t="shared" si="11"/>
        <v>0</v>
      </c>
      <c r="I135" s="442">
        <f t="shared" ref="I135:I164" si="22">C135+D135-H135</f>
        <v>190</v>
      </c>
      <c r="J135" s="453">
        <f>Q134</f>
        <v>0</v>
      </c>
      <c r="K135" s="463"/>
      <c r="L135" s="375"/>
      <c r="M135" s="375"/>
      <c r="N135" s="464"/>
      <c r="O135" s="375"/>
      <c r="P135" s="443"/>
      <c r="Q135" s="479">
        <f t="shared" si="12"/>
        <v>0</v>
      </c>
    </row>
    <row r="136" spans="1:17" ht="18">
      <c r="A136" s="789"/>
      <c r="B136" s="705">
        <v>46237</v>
      </c>
      <c r="C136" s="454">
        <f t="shared" si="21"/>
        <v>190</v>
      </c>
      <c r="D136" s="440">
        <f>'3'!C41</f>
        <v>0</v>
      </c>
      <c r="E136" s="375"/>
      <c r="F136" s="375"/>
      <c r="G136" s="452"/>
      <c r="H136" s="442">
        <f t="shared" ref="H136:H204" si="23">SUM(E136,F136)</f>
        <v>0</v>
      </c>
      <c r="I136" s="442">
        <f t="shared" si="22"/>
        <v>190</v>
      </c>
      <c r="J136" s="442">
        <f t="shared" ref="J136:J164" si="24">Q135</f>
        <v>0</v>
      </c>
      <c r="K136" s="463"/>
      <c r="L136" s="375"/>
      <c r="M136" s="375"/>
      <c r="N136" s="464"/>
      <c r="O136" s="375"/>
      <c r="P136" s="443"/>
      <c r="Q136" s="479">
        <f t="shared" ref="Q136:Q204" si="25">SUM(J136+K136-L136-M136)</f>
        <v>0</v>
      </c>
    </row>
    <row r="137" spans="1:17" ht="18">
      <c r="A137" s="789"/>
      <c r="B137" s="705">
        <v>46238</v>
      </c>
      <c r="C137" s="454">
        <f t="shared" si="21"/>
        <v>190</v>
      </c>
      <c r="D137" s="440">
        <f>'4'!C41</f>
        <v>0</v>
      </c>
      <c r="E137" s="375"/>
      <c r="F137" s="375">
        <v>20</v>
      </c>
      <c r="G137" s="452" t="s">
        <v>207</v>
      </c>
      <c r="H137" s="442">
        <f t="shared" si="23"/>
        <v>20</v>
      </c>
      <c r="I137" s="442">
        <f t="shared" si="22"/>
        <v>170</v>
      </c>
      <c r="J137" s="442">
        <f t="shared" si="24"/>
        <v>0</v>
      </c>
      <c r="K137" s="463"/>
      <c r="L137" s="375"/>
      <c r="M137" s="375"/>
      <c r="N137" s="375"/>
      <c r="O137" s="375"/>
      <c r="P137" s="443"/>
      <c r="Q137" s="479">
        <f t="shared" si="25"/>
        <v>0</v>
      </c>
    </row>
    <row r="138" spans="1:17" ht="18">
      <c r="A138" s="789"/>
      <c r="B138" s="705">
        <v>46239</v>
      </c>
      <c r="C138" s="454">
        <f t="shared" si="21"/>
        <v>170</v>
      </c>
      <c r="D138" s="440">
        <f>'5'!C42</f>
        <v>0</v>
      </c>
      <c r="E138" s="375"/>
      <c r="F138" s="375"/>
      <c r="G138" s="452"/>
      <c r="H138" s="442">
        <f t="shared" si="23"/>
        <v>0</v>
      </c>
      <c r="I138" s="442">
        <f t="shared" si="22"/>
        <v>170</v>
      </c>
      <c r="J138" s="442">
        <f t="shared" si="24"/>
        <v>0</v>
      </c>
      <c r="K138" s="463"/>
      <c r="L138" s="375"/>
      <c r="M138" s="375"/>
      <c r="N138" s="375"/>
      <c r="O138" s="375"/>
      <c r="P138" s="443"/>
      <c r="Q138" s="479">
        <f t="shared" si="25"/>
        <v>0</v>
      </c>
    </row>
    <row r="139" spans="1:17" ht="18">
      <c r="A139" s="789"/>
      <c r="B139" s="705">
        <v>46240</v>
      </c>
      <c r="C139" s="454">
        <f t="shared" si="21"/>
        <v>170</v>
      </c>
      <c r="D139" s="440">
        <f>'6'!C41</f>
        <v>0</v>
      </c>
      <c r="E139" s="375"/>
      <c r="F139" s="375"/>
      <c r="G139" s="452"/>
      <c r="H139" s="442">
        <f t="shared" si="23"/>
        <v>0</v>
      </c>
      <c r="I139" s="442">
        <f t="shared" si="22"/>
        <v>170</v>
      </c>
      <c r="J139" s="442">
        <f t="shared" si="24"/>
        <v>0</v>
      </c>
      <c r="K139" s="463"/>
      <c r="L139" s="375"/>
      <c r="M139" s="375"/>
      <c r="N139" s="375"/>
      <c r="O139" s="375"/>
      <c r="P139" s="443"/>
      <c r="Q139" s="479">
        <f t="shared" si="25"/>
        <v>0</v>
      </c>
    </row>
    <row r="140" spans="1:17" ht="18">
      <c r="A140" s="789"/>
      <c r="B140" s="705">
        <v>46241</v>
      </c>
      <c r="C140" s="454">
        <f t="shared" si="21"/>
        <v>170</v>
      </c>
      <c r="D140" s="440">
        <f>'7'!C42</f>
        <v>0</v>
      </c>
      <c r="E140" s="375"/>
      <c r="F140" s="375">
        <v>10</v>
      </c>
      <c r="G140" s="452" t="s">
        <v>207</v>
      </c>
      <c r="H140" s="442">
        <f t="shared" si="23"/>
        <v>10</v>
      </c>
      <c r="I140" s="442">
        <f t="shared" si="22"/>
        <v>160</v>
      </c>
      <c r="J140" s="442">
        <f t="shared" si="24"/>
        <v>0</v>
      </c>
      <c r="K140" s="463"/>
      <c r="L140" s="375"/>
      <c r="M140" s="375"/>
      <c r="N140" s="375"/>
      <c r="O140" s="375"/>
      <c r="P140" s="443"/>
      <c r="Q140" s="479">
        <f t="shared" si="25"/>
        <v>0</v>
      </c>
    </row>
    <row r="141" spans="1:17" ht="18">
      <c r="A141" s="789"/>
      <c r="B141" s="705">
        <v>46242</v>
      </c>
      <c r="C141" s="454">
        <f t="shared" si="21"/>
        <v>160</v>
      </c>
      <c r="D141" s="440">
        <f>'8'!C42</f>
        <v>0</v>
      </c>
      <c r="E141" s="471"/>
      <c r="F141" s="375"/>
      <c r="G141" s="452"/>
      <c r="H141" s="442">
        <f t="shared" si="23"/>
        <v>0</v>
      </c>
      <c r="I141" s="442">
        <f t="shared" si="22"/>
        <v>160</v>
      </c>
      <c r="J141" s="442">
        <f t="shared" si="24"/>
        <v>0</v>
      </c>
      <c r="K141" s="470"/>
      <c r="L141" s="471"/>
      <c r="M141" s="471"/>
      <c r="N141" s="375"/>
      <c r="O141" s="375"/>
      <c r="P141" s="443"/>
      <c r="Q141" s="479">
        <f t="shared" si="25"/>
        <v>0</v>
      </c>
    </row>
    <row r="142" spans="1:17" ht="18">
      <c r="A142" s="789"/>
      <c r="B142" s="705">
        <v>46243</v>
      </c>
      <c r="C142" s="454">
        <f t="shared" si="21"/>
        <v>160</v>
      </c>
      <c r="D142" s="440">
        <f>'9'!C42</f>
        <v>0</v>
      </c>
      <c r="E142" s="471"/>
      <c r="F142" s="471">
        <v>35</v>
      </c>
      <c r="G142" s="452" t="s">
        <v>223</v>
      </c>
      <c r="H142" s="442">
        <f t="shared" si="23"/>
        <v>35</v>
      </c>
      <c r="I142" s="442">
        <f t="shared" si="22"/>
        <v>125</v>
      </c>
      <c r="J142" s="442">
        <f t="shared" si="24"/>
        <v>0</v>
      </c>
      <c r="K142" s="470"/>
      <c r="L142" s="471"/>
      <c r="M142" s="471"/>
      <c r="N142" s="375"/>
      <c r="O142" s="375"/>
      <c r="P142" s="443"/>
      <c r="Q142" s="479">
        <f t="shared" si="25"/>
        <v>0</v>
      </c>
    </row>
    <row r="143" spans="1:17" ht="31.5">
      <c r="A143" s="789"/>
      <c r="B143" s="705">
        <v>46244</v>
      </c>
      <c r="C143" s="454">
        <f t="shared" si="21"/>
        <v>125</v>
      </c>
      <c r="D143" s="440">
        <f>'10'!C42</f>
        <v>0</v>
      </c>
      <c r="E143" s="471"/>
      <c r="F143" s="471">
        <v>50</v>
      </c>
      <c r="G143" s="452" t="s">
        <v>225</v>
      </c>
      <c r="H143" s="442">
        <f t="shared" si="23"/>
        <v>50</v>
      </c>
      <c r="I143" s="442">
        <f t="shared" si="22"/>
        <v>75</v>
      </c>
      <c r="J143" s="442">
        <f t="shared" si="24"/>
        <v>0</v>
      </c>
      <c r="K143" s="470"/>
      <c r="L143" s="471"/>
      <c r="M143" s="471"/>
      <c r="N143" s="375"/>
      <c r="O143" s="375"/>
      <c r="P143" s="443"/>
      <c r="Q143" s="479">
        <f t="shared" si="25"/>
        <v>0</v>
      </c>
    </row>
    <row r="144" spans="1:17" ht="18">
      <c r="A144" s="789"/>
      <c r="B144" s="705">
        <v>46245</v>
      </c>
      <c r="C144" s="454">
        <f t="shared" si="21"/>
        <v>75</v>
      </c>
      <c r="D144" s="440">
        <f>'11'!C42</f>
        <v>0</v>
      </c>
      <c r="E144" s="471"/>
      <c r="F144" s="471"/>
      <c r="G144" s="452"/>
      <c r="H144" s="442">
        <f t="shared" si="23"/>
        <v>0</v>
      </c>
      <c r="I144" s="442">
        <f t="shared" si="22"/>
        <v>75</v>
      </c>
      <c r="J144" s="442">
        <f t="shared" si="24"/>
        <v>0</v>
      </c>
      <c r="K144" s="470"/>
      <c r="L144" s="471"/>
      <c r="M144" s="471"/>
      <c r="N144" s="375"/>
      <c r="O144" s="375"/>
      <c r="P144" s="443"/>
      <c r="Q144" s="479">
        <f t="shared" si="25"/>
        <v>0</v>
      </c>
    </row>
    <row r="145" spans="1:17" ht="18">
      <c r="A145" s="789"/>
      <c r="B145" s="705">
        <v>46246</v>
      </c>
      <c r="C145" s="454">
        <f t="shared" si="21"/>
        <v>75</v>
      </c>
      <c r="D145" s="440">
        <f>'12'!C42</f>
        <v>0</v>
      </c>
      <c r="E145" s="471"/>
      <c r="F145" s="471"/>
      <c r="G145" s="452"/>
      <c r="H145" s="442">
        <f t="shared" si="23"/>
        <v>0</v>
      </c>
      <c r="I145" s="442">
        <f t="shared" si="22"/>
        <v>75</v>
      </c>
      <c r="J145" s="442">
        <f t="shared" si="24"/>
        <v>0</v>
      </c>
      <c r="K145" s="470"/>
      <c r="L145" s="471"/>
      <c r="M145" s="471"/>
      <c r="N145" s="375"/>
      <c r="O145" s="375"/>
      <c r="P145" s="443"/>
      <c r="Q145" s="479">
        <f t="shared" si="25"/>
        <v>0</v>
      </c>
    </row>
    <row r="146" spans="1:17" ht="18">
      <c r="A146" s="789"/>
      <c r="B146" s="705">
        <v>46247</v>
      </c>
      <c r="C146" s="454">
        <f t="shared" si="21"/>
        <v>75</v>
      </c>
      <c r="D146" s="440">
        <f>'13'!C42</f>
        <v>0</v>
      </c>
      <c r="E146" s="471"/>
      <c r="F146" s="471"/>
      <c r="G146" s="452"/>
      <c r="H146" s="442">
        <f t="shared" si="23"/>
        <v>0</v>
      </c>
      <c r="I146" s="442">
        <f t="shared" si="22"/>
        <v>75</v>
      </c>
      <c r="J146" s="442">
        <f t="shared" si="24"/>
        <v>0</v>
      </c>
      <c r="K146" s="470"/>
      <c r="L146" s="471"/>
      <c r="M146" s="471"/>
      <c r="N146" s="375"/>
      <c r="O146" s="375"/>
      <c r="P146" s="443"/>
      <c r="Q146" s="479">
        <f t="shared" si="25"/>
        <v>0</v>
      </c>
    </row>
    <row r="147" spans="1:17" ht="18">
      <c r="A147" s="789"/>
      <c r="B147" s="705">
        <v>46248</v>
      </c>
      <c r="C147" s="454">
        <f t="shared" si="21"/>
        <v>75</v>
      </c>
      <c r="D147" s="440">
        <f>'14'!C42</f>
        <v>0</v>
      </c>
      <c r="E147" s="471"/>
      <c r="F147" s="471">
        <v>15</v>
      </c>
      <c r="G147" s="452" t="s">
        <v>222</v>
      </c>
      <c r="H147" s="442">
        <f t="shared" si="23"/>
        <v>15</v>
      </c>
      <c r="I147" s="442">
        <f t="shared" si="22"/>
        <v>60</v>
      </c>
      <c r="J147" s="442">
        <f t="shared" si="24"/>
        <v>0</v>
      </c>
      <c r="K147" s="470"/>
      <c r="L147" s="471"/>
      <c r="M147" s="471"/>
      <c r="N147" s="375"/>
      <c r="O147" s="375"/>
      <c r="P147" s="443"/>
      <c r="Q147" s="479">
        <f t="shared" si="25"/>
        <v>0</v>
      </c>
    </row>
    <row r="148" spans="1:17" ht="18">
      <c r="A148" s="789"/>
      <c r="B148" s="705">
        <v>46249</v>
      </c>
      <c r="C148" s="454">
        <f t="shared" si="21"/>
        <v>60</v>
      </c>
      <c r="D148" s="440">
        <f>'15'!C42</f>
        <v>0</v>
      </c>
      <c r="E148" s="471"/>
      <c r="F148" s="471"/>
      <c r="G148" s="452"/>
      <c r="H148" s="442">
        <f t="shared" si="23"/>
        <v>0</v>
      </c>
      <c r="I148" s="442">
        <f t="shared" si="22"/>
        <v>60</v>
      </c>
      <c r="J148" s="442">
        <f t="shared" si="24"/>
        <v>0</v>
      </c>
      <c r="K148" s="470"/>
      <c r="L148" s="471"/>
      <c r="M148" s="471"/>
      <c r="N148" s="375"/>
      <c r="O148" s="375"/>
      <c r="P148" s="443"/>
      <c r="Q148" s="479">
        <f t="shared" si="25"/>
        <v>0</v>
      </c>
    </row>
    <row r="149" spans="1:17" ht="18">
      <c r="A149" s="789"/>
      <c r="B149" s="705">
        <v>46250</v>
      </c>
      <c r="C149" s="454">
        <f t="shared" si="21"/>
        <v>60</v>
      </c>
      <c r="D149" s="440">
        <f>'16'!C42</f>
        <v>0</v>
      </c>
      <c r="E149" s="471"/>
      <c r="F149" s="471">
        <v>60</v>
      </c>
      <c r="G149" s="452" t="s">
        <v>223</v>
      </c>
      <c r="H149" s="442">
        <f t="shared" si="23"/>
        <v>60</v>
      </c>
      <c r="I149" s="442">
        <f t="shared" si="22"/>
        <v>0</v>
      </c>
      <c r="J149" s="442">
        <f t="shared" si="24"/>
        <v>0</v>
      </c>
      <c r="K149" s="470"/>
      <c r="L149" s="471"/>
      <c r="M149" s="471"/>
      <c r="N149" s="375"/>
      <c r="O149" s="375"/>
      <c r="P149" s="443"/>
      <c r="Q149" s="479">
        <f t="shared" si="25"/>
        <v>0</v>
      </c>
    </row>
    <row r="150" spans="1:17" ht="18">
      <c r="A150" s="789"/>
      <c r="B150" s="705">
        <v>46251</v>
      </c>
      <c r="C150" s="454">
        <f t="shared" si="21"/>
        <v>0</v>
      </c>
      <c r="D150" s="440">
        <f>'17'!C42</f>
        <v>0</v>
      </c>
      <c r="E150" s="471"/>
      <c r="F150" s="471"/>
      <c r="G150" s="452"/>
      <c r="H150" s="442">
        <f t="shared" si="23"/>
        <v>0</v>
      </c>
      <c r="I150" s="442">
        <f t="shared" si="22"/>
        <v>0</v>
      </c>
      <c r="J150" s="442">
        <f t="shared" si="24"/>
        <v>0</v>
      </c>
      <c r="K150" s="470"/>
      <c r="L150" s="471"/>
      <c r="M150" s="471"/>
      <c r="N150" s="375"/>
      <c r="O150" s="375"/>
      <c r="P150" s="443"/>
      <c r="Q150" s="479">
        <f t="shared" si="25"/>
        <v>0</v>
      </c>
    </row>
    <row r="151" spans="1:17" ht="18">
      <c r="A151" s="789"/>
      <c r="B151" s="705">
        <v>46252</v>
      </c>
      <c r="C151" s="454">
        <f t="shared" si="21"/>
        <v>0</v>
      </c>
      <c r="D151" s="440">
        <f>'18'!C42</f>
        <v>0</v>
      </c>
      <c r="E151" s="471"/>
      <c r="F151" s="471"/>
      <c r="G151" s="452"/>
      <c r="H151" s="442">
        <f t="shared" si="23"/>
        <v>0</v>
      </c>
      <c r="I151" s="442">
        <f t="shared" si="22"/>
        <v>0</v>
      </c>
      <c r="J151" s="442">
        <f t="shared" si="24"/>
        <v>0</v>
      </c>
      <c r="K151" s="470"/>
      <c r="L151" s="471"/>
      <c r="M151" s="471"/>
      <c r="N151" s="375"/>
      <c r="O151" s="375"/>
      <c r="P151" s="443"/>
      <c r="Q151" s="479">
        <f t="shared" si="25"/>
        <v>0</v>
      </c>
    </row>
    <row r="152" spans="1:17" ht="18">
      <c r="A152" s="789"/>
      <c r="B152" s="705">
        <v>46253</v>
      </c>
      <c r="C152" s="454">
        <f t="shared" si="21"/>
        <v>0</v>
      </c>
      <c r="D152" s="440">
        <f>'19'!C42</f>
        <v>0</v>
      </c>
      <c r="E152" s="471"/>
      <c r="F152" s="471"/>
      <c r="G152" s="452"/>
      <c r="H152" s="442">
        <f t="shared" si="23"/>
        <v>0</v>
      </c>
      <c r="I152" s="442">
        <f t="shared" si="22"/>
        <v>0</v>
      </c>
      <c r="J152" s="442">
        <f t="shared" si="24"/>
        <v>0</v>
      </c>
      <c r="K152" s="470"/>
      <c r="L152" s="471"/>
      <c r="M152" s="471"/>
      <c r="N152" s="375"/>
      <c r="O152" s="375"/>
      <c r="P152" s="443"/>
      <c r="Q152" s="479">
        <f t="shared" si="25"/>
        <v>0</v>
      </c>
    </row>
    <row r="153" spans="1:17" ht="18">
      <c r="A153" s="789"/>
      <c r="B153" s="705">
        <v>46254</v>
      </c>
      <c r="C153" s="454">
        <f t="shared" si="21"/>
        <v>0</v>
      </c>
      <c r="D153" s="440">
        <f>'20'!C42</f>
        <v>0</v>
      </c>
      <c r="E153" s="471"/>
      <c r="F153" s="471"/>
      <c r="G153" s="452"/>
      <c r="H153" s="442">
        <f t="shared" si="23"/>
        <v>0</v>
      </c>
      <c r="I153" s="442">
        <f t="shared" si="22"/>
        <v>0</v>
      </c>
      <c r="J153" s="442">
        <f t="shared" si="24"/>
        <v>0</v>
      </c>
      <c r="K153" s="470"/>
      <c r="L153" s="471"/>
      <c r="M153" s="471"/>
      <c r="N153" s="375"/>
      <c r="O153" s="375"/>
      <c r="P153" s="443"/>
      <c r="Q153" s="479">
        <f t="shared" si="25"/>
        <v>0</v>
      </c>
    </row>
    <row r="154" spans="1:17" ht="18">
      <c r="A154" s="789"/>
      <c r="B154" s="705">
        <v>46255</v>
      </c>
      <c r="C154" s="454">
        <f t="shared" si="21"/>
        <v>0</v>
      </c>
      <c r="D154" s="440">
        <f>'21'!C42</f>
        <v>0</v>
      </c>
      <c r="E154" s="471"/>
      <c r="F154" s="471"/>
      <c r="G154" s="452"/>
      <c r="H154" s="442">
        <f t="shared" si="23"/>
        <v>0</v>
      </c>
      <c r="I154" s="442">
        <f t="shared" si="22"/>
        <v>0</v>
      </c>
      <c r="J154" s="442">
        <f t="shared" si="24"/>
        <v>0</v>
      </c>
      <c r="K154" s="470"/>
      <c r="L154" s="471"/>
      <c r="M154" s="471"/>
      <c r="N154" s="375"/>
      <c r="O154" s="375"/>
      <c r="P154" s="443"/>
      <c r="Q154" s="479">
        <f t="shared" si="25"/>
        <v>0</v>
      </c>
    </row>
    <row r="155" spans="1:17" ht="18">
      <c r="A155" s="789"/>
      <c r="B155" s="705">
        <v>46256</v>
      </c>
      <c r="C155" s="454">
        <f t="shared" si="21"/>
        <v>0</v>
      </c>
      <c r="D155" s="440">
        <f>'22'!C42</f>
        <v>0</v>
      </c>
      <c r="E155" s="471"/>
      <c r="F155" s="471"/>
      <c r="G155" s="452"/>
      <c r="H155" s="442">
        <f t="shared" si="23"/>
        <v>0</v>
      </c>
      <c r="I155" s="442">
        <f t="shared" si="22"/>
        <v>0</v>
      </c>
      <c r="J155" s="442">
        <f t="shared" si="24"/>
        <v>0</v>
      </c>
      <c r="K155" s="470"/>
      <c r="L155" s="471"/>
      <c r="M155" s="471"/>
      <c r="N155" s="375"/>
      <c r="O155" s="375"/>
      <c r="P155" s="443"/>
      <c r="Q155" s="479">
        <f t="shared" si="25"/>
        <v>0</v>
      </c>
    </row>
    <row r="156" spans="1:17" ht="18">
      <c r="A156" s="789"/>
      <c r="B156" s="705">
        <v>46257</v>
      </c>
      <c r="C156" s="454">
        <f t="shared" si="21"/>
        <v>0</v>
      </c>
      <c r="D156" s="440">
        <f>'23'!C42</f>
        <v>0</v>
      </c>
      <c r="E156" s="471"/>
      <c r="F156" s="471"/>
      <c r="G156" s="658"/>
      <c r="H156" s="442">
        <f t="shared" si="23"/>
        <v>0</v>
      </c>
      <c r="I156" s="442">
        <f t="shared" si="22"/>
        <v>0</v>
      </c>
      <c r="J156" s="442">
        <f t="shared" si="24"/>
        <v>0</v>
      </c>
      <c r="K156" s="470"/>
      <c r="L156" s="471"/>
      <c r="M156" s="471"/>
      <c r="N156" s="375"/>
      <c r="O156" s="375"/>
      <c r="P156" s="443"/>
      <c r="Q156" s="479">
        <f t="shared" si="25"/>
        <v>0</v>
      </c>
    </row>
    <row r="157" spans="1:17" ht="18">
      <c r="A157" s="789"/>
      <c r="B157" s="705">
        <v>46258</v>
      </c>
      <c r="C157" s="454">
        <f t="shared" si="21"/>
        <v>0</v>
      </c>
      <c r="D157" s="440">
        <f>'24'!C42</f>
        <v>0</v>
      </c>
      <c r="E157" s="471"/>
      <c r="F157" s="375"/>
      <c r="G157" s="659"/>
      <c r="H157" s="442">
        <f t="shared" si="23"/>
        <v>0</v>
      </c>
      <c r="I157" s="442">
        <f t="shared" si="22"/>
        <v>0</v>
      </c>
      <c r="J157" s="442">
        <f t="shared" si="24"/>
        <v>0</v>
      </c>
      <c r="K157" s="470"/>
      <c r="L157" s="471"/>
      <c r="M157" s="471"/>
      <c r="N157" s="375"/>
      <c r="O157" s="375"/>
      <c r="P157" s="443"/>
      <c r="Q157" s="479">
        <f t="shared" si="25"/>
        <v>0</v>
      </c>
    </row>
    <row r="158" spans="1:17" ht="18">
      <c r="A158" s="789"/>
      <c r="B158" s="705">
        <v>46259</v>
      </c>
      <c r="C158" s="454">
        <f t="shared" si="21"/>
        <v>0</v>
      </c>
      <c r="D158" s="440">
        <f>'25'!C42</f>
        <v>0</v>
      </c>
      <c r="E158" s="471"/>
      <c r="F158" s="471"/>
      <c r="G158" s="452"/>
      <c r="H158" s="442">
        <f t="shared" si="23"/>
        <v>0</v>
      </c>
      <c r="I158" s="442">
        <f t="shared" si="22"/>
        <v>0</v>
      </c>
      <c r="J158" s="442">
        <f t="shared" si="24"/>
        <v>0</v>
      </c>
      <c r="K158" s="470"/>
      <c r="L158" s="471"/>
      <c r="M158" s="471"/>
      <c r="N158" s="375"/>
      <c r="O158" s="375"/>
      <c r="P158" s="443"/>
      <c r="Q158" s="479">
        <f t="shared" si="25"/>
        <v>0</v>
      </c>
    </row>
    <row r="159" spans="1:17" ht="18">
      <c r="A159" s="789"/>
      <c r="B159" s="705">
        <v>46260</v>
      </c>
      <c r="C159" s="454">
        <f t="shared" si="21"/>
        <v>0</v>
      </c>
      <c r="D159" s="440">
        <f>'26'!C42</f>
        <v>0</v>
      </c>
      <c r="E159" s="471"/>
      <c r="F159" s="471"/>
      <c r="G159" s="452"/>
      <c r="H159" s="442">
        <f t="shared" si="23"/>
        <v>0</v>
      </c>
      <c r="I159" s="442">
        <f t="shared" si="22"/>
        <v>0</v>
      </c>
      <c r="J159" s="442">
        <f t="shared" si="24"/>
        <v>0</v>
      </c>
      <c r="K159" s="470"/>
      <c r="L159" s="471"/>
      <c r="M159" s="471"/>
      <c r="N159" s="375"/>
      <c r="O159" s="375"/>
      <c r="P159" s="443"/>
      <c r="Q159" s="479">
        <f t="shared" si="25"/>
        <v>0</v>
      </c>
    </row>
    <row r="160" spans="1:17" ht="18">
      <c r="A160" s="789"/>
      <c r="B160" s="705">
        <v>46261</v>
      </c>
      <c r="C160" s="454">
        <f t="shared" si="21"/>
        <v>0</v>
      </c>
      <c r="D160" s="440">
        <f>'27'!C42</f>
        <v>0</v>
      </c>
      <c r="E160" s="471"/>
      <c r="F160" s="471"/>
      <c r="G160" s="452"/>
      <c r="H160" s="442">
        <f t="shared" si="23"/>
        <v>0</v>
      </c>
      <c r="I160" s="442">
        <f t="shared" si="22"/>
        <v>0</v>
      </c>
      <c r="J160" s="442">
        <f t="shared" si="24"/>
        <v>0</v>
      </c>
      <c r="K160" s="470"/>
      <c r="L160" s="471"/>
      <c r="M160" s="471"/>
      <c r="N160" s="375"/>
      <c r="O160" s="375"/>
      <c r="P160" s="443"/>
      <c r="Q160" s="479">
        <f t="shared" si="25"/>
        <v>0</v>
      </c>
    </row>
    <row r="161" spans="1:17" ht="18">
      <c r="A161" s="789"/>
      <c r="B161" s="705">
        <v>46262</v>
      </c>
      <c r="C161" s="454">
        <f t="shared" si="21"/>
        <v>0</v>
      </c>
      <c r="D161" s="440">
        <f>'28'!C42</f>
        <v>0</v>
      </c>
      <c r="E161" s="471"/>
      <c r="F161" s="471"/>
      <c r="G161" s="452"/>
      <c r="H161" s="442">
        <f t="shared" si="23"/>
        <v>0</v>
      </c>
      <c r="I161" s="442">
        <f t="shared" si="22"/>
        <v>0</v>
      </c>
      <c r="J161" s="442">
        <f t="shared" si="24"/>
        <v>0</v>
      </c>
      <c r="K161" s="470"/>
      <c r="L161" s="471"/>
      <c r="M161" s="471"/>
      <c r="N161" s="375"/>
      <c r="O161" s="375"/>
      <c r="P161" s="443"/>
      <c r="Q161" s="479">
        <f t="shared" si="25"/>
        <v>0</v>
      </c>
    </row>
    <row r="162" spans="1:17" ht="18">
      <c r="A162" s="789"/>
      <c r="B162" s="705">
        <v>46263</v>
      </c>
      <c r="C162" s="454">
        <f t="shared" si="21"/>
        <v>0</v>
      </c>
      <c r="D162" s="440">
        <f>'29'!C42</f>
        <v>0</v>
      </c>
      <c r="E162" s="471"/>
      <c r="F162" s="471"/>
      <c r="G162" s="452"/>
      <c r="H162" s="442">
        <f t="shared" si="23"/>
        <v>0</v>
      </c>
      <c r="I162" s="442">
        <f t="shared" si="22"/>
        <v>0</v>
      </c>
      <c r="J162" s="442">
        <f t="shared" si="24"/>
        <v>0</v>
      </c>
      <c r="K162" s="470"/>
      <c r="L162" s="471"/>
      <c r="M162" s="471"/>
      <c r="N162" s="375"/>
      <c r="O162" s="375"/>
      <c r="P162" s="443"/>
      <c r="Q162" s="479">
        <f t="shared" si="25"/>
        <v>0</v>
      </c>
    </row>
    <row r="163" spans="1:17" ht="18">
      <c r="A163" s="789"/>
      <c r="B163" s="705">
        <v>46264</v>
      </c>
      <c r="C163" s="454">
        <f t="shared" si="21"/>
        <v>0</v>
      </c>
      <c r="D163" s="440">
        <f>'30'!C42</f>
        <v>0</v>
      </c>
      <c r="E163" s="471"/>
      <c r="F163" s="471"/>
      <c r="G163" s="452"/>
      <c r="H163" s="442">
        <f t="shared" si="23"/>
        <v>0</v>
      </c>
      <c r="I163" s="442">
        <f t="shared" si="22"/>
        <v>0</v>
      </c>
      <c r="J163" s="442">
        <f t="shared" si="24"/>
        <v>0</v>
      </c>
      <c r="K163" s="470"/>
      <c r="L163" s="471"/>
      <c r="M163" s="471"/>
      <c r="N163" s="375"/>
      <c r="O163" s="375"/>
      <c r="P163" s="443"/>
      <c r="Q163" s="479">
        <f t="shared" si="25"/>
        <v>0</v>
      </c>
    </row>
    <row r="164" spans="1:17" ht="18">
      <c r="A164" s="789"/>
      <c r="B164" s="705">
        <v>46265</v>
      </c>
      <c r="C164" s="454">
        <f t="shared" si="21"/>
        <v>0</v>
      </c>
      <c r="D164" s="440">
        <f>'31'!C41</f>
        <v>0</v>
      </c>
      <c r="E164" s="471"/>
      <c r="F164" s="471"/>
      <c r="G164" s="452"/>
      <c r="H164" s="442">
        <f t="shared" si="23"/>
        <v>0</v>
      </c>
      <c r="I164" s="442">
        <f t="shared" si="22"/>
        <v>0</v>
      </c>
      <c r="J164" s="442">
        <f t="shared" si="24"/>
        <v>0</v>
      </c>
      <c r="K164" s="470"/>
      <c r="L164" s="471"/>
      <c r="M164" s="471"/>
      <c r="N164" s="375"/>
      <c r="O164" s="375"/>
      <c r="P164" s="443"/>
      <c r="Q164" s="479">
        <f t="shared" si="25"/>
        <v>0</v>
      </c>
    </row>
    <row r="165" spans="1:17" ht="15.75">
      <c r="A165" s="791"/>
      <c r="B165" s="766" t="s">
        <v>79</v>
      </c>
      <c r="C165" s="767"/>
      <c r="D165" s="781"/>
      <c r="E165" s="767"/>
      <c r="F165" s="767"/>
      <c r="G165" s="767"/>
      <c r="H165" s="449">
        <f>SUM(H134:H164)</f>
        <v>190</v>
      </c>
      <c r="I165" s="485"/>
      <c r="J165" s="486"/>
      <c r="K165" s="475">
        <f>SUM(K134:K164)</f>
        <v>0</v>
      </c>
      <c r="L165" s="487"/>
      <c r="M165" s="493">
        <f>SUM(M134:M164)</f>
        <v>0</v>
      </c>
      <c r="N165" s="473"/>
      <c r="O165" s="474"/>
      <c r="P165" s="487"/>
      <c r="Q165" s="481"/>
    </row>
    <row r="166" spans="1:17" ht="18">
      <c r="A166" s="788" t="s">
        <v>80</v>
      </c>
      <c r="B166" s="705">
        <v>46235</v>
      </c>
      <c r="C166" s="491">
        <f>'1'!B43</f>
        <v>20</v>
      </c>
      <c r="D166" s="440">
        <f>'1'!C43</f>
        <v>0</v>
      </c>
      <c r="E166" s="451"/>
      <c r="F166" s="451"/>
      <c r="G166" s="467"/>
      <c r="H166" s="442">
        <f t="shared" si="23"/>
        <v>0</v>
      </c>
      <c r="I166" s="442">
        <f>C166+D166-H166</f>
        <v>20</v>
      </c>
      <c r="J166" s="458">
        <v>0</v>
      </c>
      <c r="K166" s="478"/>
      <c r="L166" s="451"/>
      <c r="M166" s="451"/>
      <c r="N166" s="465"/>
      <c r="O166" s="451"/>
      <c r="P166" s="467"/>
      <c r="Q166" s="479">
        <f t="shared" si="25"/>
        <v>0</v>
      </c>
    </row>
    <row r="167" spans="1:17" ht="18">
      <c r="A167" s="789"/>
      <c r="B167" s="705">
        <v>46236</v>
      </c>
      <c r="C167" s="454">
        <f>I166</f>
        <v>20</v>
      </c>
      <c r="D167" s="440">
        <f>'2'!C43</f>
        <v>0</v>
      </c>
      <c r="E167" s="375"/>
      <c r="F167" s="451"/>
      <c r="G167" s="467"/>
      <c r="H167" s="442">
        <f t="shared" si="23"/>
        <v>0</v>
      </c>
      <c r="I167" s="442">
        <f t="shared" ref="I167:I196" si="26">C167+D167-H167</f>
        <v>20</v>
      </c>
      <c r="J167" s="453">
        <f>Q166</f>
        <v>0</v>
      </c>
      <c r="K167" s="463"/>
      <c r="L167" s="375"/>
      <c r="M167" s="375"/>
      <c r="N167" s="464"/>
      <c r="O167" s="375"/>
      <c r="P167" s="443"/>
      <c r="Q167" s="479">
        <f t="shared" si="25"/>
        <v>0</v>
      </c>
    </row>
    <row r="168" spans="1:17" ht="18">
      <c r="A168" s="789"/>
      <c r="B168" s="705">
        <v>46237</v>
      </c>
      <c r="C168" s="454">
        <f t="shared" ref="C168:C196" si="27">I167</f>
        <v>20</v>
      </c>
      <c r="D168" s="440">
        <f>'3'!C43</f>
        <v>0</v>
      </c>
      <c r="E168" s="375"/>
      <c r="F168" s="451"/>
      <c r="G168" s="467"/>
      <c r="H168" s="442">
        <f t="shared" si="23"/>
        <v>0</v>
      </c>
      <c r="I168" s="442">
        <f t="shared" si="26"/>
        <v>20</v>
      </c>
      <c r="J168" s="453">
        <f t="shared" ref="J168:J196" si="28">Q167</f>
        <v>0</v>
      </c>
      <c r="K168" s="463"/>
      <c r="L168" s="375"/>
      <c r="M168" s="375"/>
      <c r="N168" s="464"/>
      <c r="O168" s="375"/>
      <c r="P168" s="443"/>
      <c r="Q168" s="479">
        <f t="shared" si="25"/>
        <v>0</v>
      </c>
    </row>
    <row r="169" spans="1:17" ht="18">
      <c r="A169" s="789"/>
      <c r="B169" s="705">
        <v>46238</v>
      </c>
      <c r="C169" s="454">
        <f t="shared" si="27"/>
        <v>20</v>
      </c>
      <c r="D169" s="440">
        <f>'4'!C43</f>
        <v>0</v>
      </c>
      <c r="E169" s="375"/>
      <c r="F169" s="451"/>
      <c r="G169" s="467"/>
      <c r="H169" s="442">
        <f t="shared" si="23"/>
        <v>0</v>
      </c>
      <c r="I169" s="442">
        <f t="shared" si="26"/>
        <v>20</v>
      </c>
      <c r="J169" s="453">
        <f t="shared" si="28"/>
        <v>0</v>
      </c>
      <c r="K169" s="463"/>
      <c r="L169" s="375"/>
      <c r="M169" s="375"/>
      <c r="N169" s="464"/>
      <c r="O169" s="375"/>
      <c r="P169" s="443"/>
      <c r="Q169" s="479">
        <f t="shared" si="25"/>
        <v>0</v>
      </c>
    </row>
    <row r="170" spans="1:17" ht="18">
      <c r="A170" s="789"/>
      <c r="B170" s="705">
        <v>46239</v>
      </c>
      <c r="C170" s="454">
        <f t="shared" si="27"/>
        <v>20</v>
      </c>
      <c r="D170" s="440">
        <f>'5'!C44</f>
        <v>0</v>
      </c>
      <c r="E170" s="375"/>
      <c r="F170" s="451"/>
      <c r="G170" s="467"/>
      <c r="H170" s="442">
        <f t="shared" si="23"/>
        <v>0</v>
      </c>
      <c r="I170" s="442">
        <f t="shared" si="26"/>
        <v>20</v>
      </c>
      <c r="J170" s="453">
        <f t="shared" si="28"/>
        <v>0</v>
      </c>
      <c r="K170" s="463"/>
      <c r="L170" s="375"/>
      <c r="M170" s="375"/>
      <c r="N170" s="464"/>
      <c r="O170" s="375"/>
      <c r="P170" s="443"/>
      <c r="Q170" s="479">
        <f t="shared" si="25"/>
        <v>0</v>
      </c>
    </row>
    <row r="171" spans="1:17" ht="18">
      <c r="A171" s="789"/>
      <c r="B171" s="705">
        <v>46240</v>
      </c>
      <c r="C171" s="454">
        <f t="shared" si="27"/>
        <v>20</v>
      </c>
      <c r="D171" s="440">
        <f>'6'!C43</f>
        <v>0</v>
      </c>
      <c r="E171" s="375">
        <v>5</v>
      </c>
      <c r="F171" s="451"/>
      <c r="G171" s="467" t="s">
        <v>214</v>
      </c>
      <c r="H171" s="442">
        <f t="shared" si="23"/>
        <v>5</v>
      </c>
      <c r="I171" s="442">
        <f t="shared" si="26"/>
        <v>15</v>
      </c>
      <c r="J171" s="453">
        <f t="shared" si="28"/>
        <v>0</v>
      </c>
      <c r="K171" s="463"/>
      <c r="L171" s="375"/>
      <c r="M171" s="375"/>
      <c r="N171" s="464"/>
      <c r="O171" s="375"/>
      <c r="P171" s="443"/>
      <c r="Q171" s="479">
        <f t="shared" si="25"/>
        <v>0</v>
      </c>
    </row>
    <row r="172" spans="1:17" ht="18">
      <c r="A172" s="789"/>
      <c r="B172" s="705">
        <v>46241</v>
      </c>
      <c r="C172" s="454">
        <f t="shared" si="27"/>
        <v>15</v>
      </c>
      <c r="D172" s="440">
        <f>'7'!C44</f>
        <v>0</v>
      </c>
      <c r="E172" s="375"/>
      <c r="F172" s="451"/>
      <c r="G172" s="467"/>
      <c r="H172" s="442">
        <f t="shared" si="23"/>
        <v>0</v>
      </c>
      <c r="I172" s="442">
        <f t="shared" si="26"/>
        <v>15</v>
      </c>
      <c r="J172" s="453">
        <f t="shared" si="28"/>
        <v>0</v>
      </c>
      <c r="K172" s="463"/>
      <c r="L172" s="375"/>
      <c r="M172" s="375"/>
      <c r="N172" s="464"/>
      <c r="O172" s="375"/>
      <c r="P172" s="443"/>
      <c r="Q172" s="479">
        <f t="shared" si="25"/>
        <v>0</v>
      </c>
    </row>
    <row r="173" spans="1:17" ht="18">
      <c r="A173" s="789"/>
      <c r="B173" s="705">
        <v>46242</v>
      </c>
      <c r="C173" s="454">
        <f t="shared" si="27"/>
        <v>15</v>
      </c>
      <c r="D173" s="440">
        <f>'8'!C44</f>
        <v>0</v>
      </c>
      <c r="E173" s="375"/>
      <c r="F173" s="451"/>
      <c r="G173" s="666"/>
      <c r="H173" s="442">
        <f t="shared" si="23"/>
        <v>0</v>
      </c>
      <c r="I173" s="442">
        <f t="shared" si="26"/>
        <v>15</v>
      </c>
      <c r="J173" s="453">
        <f t="shared" si="28"/>
        <v>0</v>
      </c>
      <c r="K173" s="463"/>
      <c r="L173" s="375"/>
      <c r="M173" s="375"/>
      <c r="N173" s="464"/>
      <c r="O173" s="375"/>
      <c r="P173" s="443"/>
      <c r="Q173" s="479">
        <f t="shared" si="25"/>
        <v>0</v>
      </c>
    </row>
    <row r="174" spans="1:17" ht="18.75" thickBot="1">
      <c r="A174" s="789"/>
      <c r="B174" s="705">
        <v>46243</v>
      </c>
      <c r="C174" s="454">
        <f t="shared" si="27"/>
        <v>15</v>
      </c>
      <c r="D174" s="440">
        <f>'9'!C44</f>
        <v>0</v>
      </c>
      <c r="E174" s="375"/>
      <c r="F174" s="451"/>
      <c r="G174" s="467"/>
      <c r="H174" s="442">
        <f t="shared" si="23"/>
        <v>0</v>
      </c>
      <c r="I174" s="442">
        <f t="shared" si="26"/>
        <v>15</v>
      </c>
      <c r="J174" s="453">
        <f t="shared" si="28"/>
        <v>0</v>
      </c>
      <c r="K174" s="463"/>
      <c r="L174" s="375"/>
      <c r="M174" s="375"/>
      <c r="N174" s="464"/>
      <c r="O174" s="375"/>
      <c r="P174" s="443"/>
      <c r="Q174" s="479">
        <f t="shared" si="25"/>
        <v>0</v>
      </c>
    </row>
    <row r="175" spans="1:17" ht="28.5" customHeight="1" thickBot="1">
      <c r="A175" s="789"/>
      <c r="B175" s="705">
        <v>46244</v>
      </c>
      <c r="C175" s="454">
        <f t="shared" si="27"/>
        <v>15</v>
      </c>
      <c r="D175" s="440">
        <f>'10'!C44</f>
        <v>0</v>
      </c>
      <c r="E175" s="375"/>
      <c r="F175" s="451"/>
      <c r="G175" s="707"/>
      <c r="H175" s="442">
        <f t="shared" si="23"/>
        <v>0</v>
      </c>
      <c r="I175" s="442">
        <f t="shared" si="26"/>
        <v>15</v>
      </c>
      <c r="J175" s="453">
        <f t="shared" si="28"/>
        <v>0</v>
      </c>
      <c r="K175" s="463"/>
      <c r="L175" s="375"/>
      <c r="M175" s="375"/>
      <c r="N175" s="464"/>
      <c r="O175" s="375"/>
      <c r="P175" s="443"/>
      <c r="Q175" s="479">
        <f t="shared" si="25"/>
        <v>0</v>
      </c>
    </row>
    <row r="176" spans="1:17" ht="18.75" thickBot="1">
      <c r="A176" s="789"/>
      <c r="B176" s="705">
        <v>46245</v>
      </c>
      <c r="C176" s="454">
        <f t="shared" si="27"/>
        <v>15</v>
      </c>
      <c r="D176" s="440">
        <f>'11'!C44</f>
        <v>0</v>
      </c>
      <c r="E176" s="375"/>
      <c r="F176" s="451"/>
      <c r="G176" s="492"/>
      <c r="H176" s="442">
        <f t="shared" si="23"/>
        <v>0</v>
      </c>
      <c r="I176" s="442">
        <f t="shared" si="26"/>
        <v>15</v>
      </c>
      <c r="J176" s="453">
        <f t="shared" si="28"/>
        <v>0</v>
      </c>
      <c r="K176" s="463"/>
      <c r="L176" s="375"/>
      <c r="M176" s="375"/>
      <c r="N176" s="464"/>
      <c r="O176" s="375"/>
      <c r="P176" s="443"/>
      <c r="Q176" s="479">
        <f t="shared" si="25"/>
        <v>0</v>
      </c>
    </row>
    <row r="177" spans="1:17" ht="18">
      <c r="A177" s="789"/>
      <c r="B177" s="705">
        <v>46246</v>
      </c>
      <c r="C177" s="454">
        <f t="shared" si="27"/>
        <v>15</v>
      </c>
      <c r="D177" s="440">
        <f>'12'!C44</f>
        <v>0</v>
      </c>
      <c r="E177" s="375"/>
      <c r="F177" s="451"/>
      <c r="G177" s="467"/>
      <c r="H177" s="442">
        <f t="shared" si="23"/>
        <v>0</v>
      </c>
      <c r="I177" s="442">
        <f t="shared" si="26"/>
        <v>15</v>
      </c>
      <c r="J177" s="453">
        <f t="shared" si="28"/>
        <v>0</v>
      </c>
      <c r="K177" s="463"/>
      <c r="L177" s="375"/>
      <c r="M177" s="375"/>
      <c r="N177" s="464"/>
      <c r="O177" s="375"/>
      <c r="P177" s="443"/>
      <c r="Q177" s="479">
        <f t="shared" si="25"/>
        <v>0</v>
      </c>
    </row>
    <row r="178" spans="1:17" ht="18">
      <c r="A178" s="789"/>
      <c r="B178" s="705">
        <v>46247</v>
      </c>
      <c r="C178" s="454">
        <f t="shared" si="27"/>
        <v>15</v>
      </c>
      <c r="D178" s="440">
        <f>'13'!C44</f>
        <v>0</v>
      </c>
      <c r="E178" s="375"/>
      <c r="F178" s="451"/>
      <c r="G178" s="467"/>
      <c r="H178" s="442">
        <f t="shared" si="23"/>
        <v>0</v>
      </c>
      <c r="I178" s="442">
        <f t="shared" si="26"/>
        <v>15</v>
      </c>
      <c r="J178" s="453">
        <f t="shared" si="28"/>
        <v>0</v>
      </c>
      <c r="K178" s="463"/>
      <c r="L178" s="375"/>
      <c r="M178" s="375"/>
      <c r="N178" s="464"/>
      <c r="O178" s="375"/>
      <c r="P178" s="443"/>
      <c r="Q178" s="479">
        <f t="shared" si="25"/>
        <v>0</v>
      </c>
    </row>
    <row r="179" spans="1:17" ht="18.75" thickBot="1">
      <c r="A179" s="789"/>
      <c r="B179" s="705">
        <v>46248</v>
      </c>
      <c r="C179" s="454">
        <f t="shared" si="27"/>
        <v>15</v>
      </c>
      <c r="D179" s="440">
        <f>'14'!C44</f>
        <v>0</v>
      </c>
      <c r="E179" s="375"/>
      <c r="F179" s="451"/>
      <c r="G179" s="467"/>
      <c r="H179" s="442">
        <f t="shared" si="23"/>
        <v>0</v>
      </c>
      <c r="I179" s="442">
        <f t="shared" si="26"/>
        <v>15</v>
      </c>
      <c r="J179" s="453">
        <f t="shared" si="28"/>
        <v>0</v>
      </c>
      <c r="K179" s="463"/>
      <c r="L179" s="375"/>
      <c r="M179" s="375"/>
      <c r="N179" s="464"/>
      <c r="O179" s="375"/>
      <c r="P179" s="443"/>
      <c r="Q179" s="479">
        <f t="shared" si="25"/>
        <v>0</v>
      </c>
    </row>
    <row r="180" spans="1:17" ht="18.75" thickBot="1">
      <c r="A180" s="789"/>
      <c r="B180" s="705">
        <v>46249</v>
      </c>
      <c r="C180" s="454">
        <f t="shared" si="27"/>
        <v>15</v>
      </c>
      <c r="D180" s="440">
        <f>'15'!C44</f>
        <v>0</v>
      </c>
      <c r="E180" s="375">
        <v>5</v>
      </c>
      <c r="F180" s="451"/>
      <c r="G180" s="452" t="s">
        <v>232</v>
      </c>
      <c r="H180" s="442">
        <f t="shared" si="23"/>
        <v>5</v>
      </c>
      <c r="I180" s="442">
        <f t="shared" si="26"/>
        <v>10</v>
      </c>
      <c r="J180" s="453">
        <f t="shared" si="28"/>
        <v>0</v>
      </c>
      <c r="K180" s="463"/>
      <c r="L180" s="375"/>
      <c r="M180" s="375"/>
      <c r="N180" s="464"/>
      <c r="O180" s="375"/>
      <c r="P180" s="443"/>
      <c r="Q180" s="479">
        <f t="shared" si="25"/>
        <v>0</v>
      </c>
    </row>
    <row r="181" spans="1:17" ht="18.75" thickBot="1">
      <c r="A181" s="789"/>
      <c r="B181" s="705">
        <v>46250</v>
      </c>
      <c r="C181" s="454">
        <f t="shared" si="27"/>
        <v>10</v>
      </c>
      <c r="D181" s="440">
        <f>'16'!C44</f>
        <v>0</v>
      </c>
      <c r="E181" s="375"/>
      <c r="F181" s="451"/>
      <c r="G181" s="467"/>
      <c r="H181" s="442">
        <f t="shared" si="23"/>
        <v>0</v>
      </c>
      <c r="I181" s="442">
        <f t="shared" si="26"/>
        <v>10</v>
      </c>
      <c r="J181" s="453">
        <f t="shared" si="28"/>
        <v>0</v>
      </c>
      <c r="K181" s="463"/>
      <c r="L181" s="375"/>
      <c r="M181" s="375"/>
      <c r="N181" s="464"/>
      <c r="O181" s="375"/>
      <c r="P181" s="443"/>
      <c r="Q181" s="479">
        <f t="shared" si="25"/>
        <v>0</v>
      </c>
    </row>
    <row r="182" spans="1:17" ht="18">
      <c r="A182" s="789"/>
      <c r="B182" s="705">
        <v>46251</v>
      </c>
      <c r="C182" s="454">
        <f t="shared" si="27"/>
        <v>10</v>
      </c>
      <c r="D182" s="440">
        <f>'17'!C44</f>
        <v>0</v>
      </c>
      <c r="E182" s="375"/>
      <c r="F182" s="451"/>
      <c r="G182" s="467"/>
      <c r="H182" s="442">
        <f t="shared" si="23"/>
        <v>0</v>
      </c>
      <c r="I182" s="442">
        <f t="shared" si="26"/>
        <v>10</v>
      </c>
      <c r="J182" s="453">
        <f t="shared" si="28"/>
        <v>0</v>
      </c>
      <c r="K182" s="463"/>
      <c r="L182" s="375"/>
      <c r="M182" s="375"/>
      <c r="N182" s="464"/>
      <c r="O182" s="375"/>
      <c r="P182" s="443"/>
      <c r="Q182" s="479">
        <f t="shared" si="25"/>
        <v>0</v>
      </c>
    </row>
    <row r="183" spans="1:17" ht="18">
      <c r="A183" s="789"/>
      <c r="B183" s="705">
        <v>46252</v>
      </c>
      <c r="C183" s="454">
        <f t="shared" si="27"/>
        <v>10</v>
      </c>
      <c r="D183" s="440">
        <f>'18'!C44</f>
        <v>0</v>
      </c>
      <c r="E183" s="375"/>
      <c r="F183" s="451"/>
      <c r="G183" s="452"/>
      <c r="H183" s="442">
        <f t="shared" si="23"/>
        <v>0</v>
      </c>
      <c r="I183" s="442">
        <f t="shared" si="26"/>
        <v>10</v>
      </c>
      <c r="J183" s="453">
        <f t="shared" si="28"/>
        <v>0</v>
      </c>
      <c r="K183" s="463"/>
      <c r="L183" s="375"/>
      <c r="M183" s="375"/>
      <c r="N183" s="464"/>
      <c r="O183" s="375"/>
      <c r="P183" s="443"/>
      <c r="Q183" s="479">
        <f t="shared" si="25"/>
        <v>0</v>
      </c>
    </row>
    <row r="184" spans="1:17" ht="18">
      <c r="A184" s="789"/>
      <c r="B184" s="705">
        <v>46253</v>
      </c>
      <c r="C184" s="454">
        <f t="shared" si="27"/>
        <v>10</v>
      </c>
      <c r="D184" s="440">
        <f>'19'!C44</f>
        <v>0</v>
      </c>
      <c r="E184" s="375"/>
      <c r="F184" s="451"/>
      <c r="G184" s="467"/>
      <c r="H184" s="442">
        <f t="shared" si="23"/>
        <v>0</v>
      </c>
      <c r="I184" s="442">
        <f t="shared" si="26"/>
        <v>10</v>
      </c>
      <c r="J184" s="453">
        <f t="shared" si="28"/>
        <v>0</v>
      </c>
      <c r="K184" s="463"/>
      <c r="L184" s="375"/>
      <c r="M184" s="375"/>
      <c r="N184" s="464"/>
      <c r="O184" s="375"/>
      <c r="P184" s="443"/>
      <c r="Q184" s="479">
        <f t="shared" si="25"/>
        <v>0</v>
      </c>
    </row>
    <row r="185" spans="1:17" ht="18">
      <c r="A185" s="789"/>
      <c r="B185" s="705">
        <v>46254</v>
      </c>
      <c r="C185" s="454">
        <f t="shared" si="27"/>
        <v>10</v>
      </c>
      <c r="D185" s="440">
        <f>'20'!C44</f>
        <v>0</v>
      </c>
      <c r="E185" s="375"/>
      <c r="F185" s="451"/>
      <c r="G185" s="467"/>
      <c r="H185" s="442">
        <f t="shared" si="23"/>
        <v>0</v>
      </c>
      <c r="I185" s="442">
        <f t="shared" si="26"/>
        <v>10</v>
      </c>
      <c r="J185" s="453">
        <f t="shared" si="28"/>
        <v>0</v>
      </c>
      <c r="K185" s="463"/>
      <c r="L185" s="375"/>
      <c r="M185" s="375"/>
      <c r="N185" s="464"/>
      <c r="O185" s="375"/>
      <c r="P185" s="443"/>
      <c r="Q185" s="479">
        <f t="shared" si="25"/>
        <v>0</v>
      </c>
    </row>
    <row r="186" spans="1:17" ht="18">
      <c r="A186" s="789"/>
      <c r="B186" s="705">
        <v>46255</v>
      </c>
      <c r="C186" s="454">
        <f t="shared" si="27"/>
        <v>10</v>
      </c>
      <c r="D186" s="440">
        <f>'21'!C44</f>
        <v>0</v>
      </c>
      <c r="E186" s="375"/>
      <c r="F186" s="451"/>
      <c r="G186" s="467"/>
      <c r="H186" s="442">
        <f t="shared" si="23"/>
        <v>0</v>
      </c>
      <c r="I186" s="442">
        <f t="shared" si="26"/>
        <v>10</v>
      </c>
      <c r="J186" s="453">
        <f t="shared" si="28"/>
        <v>0</v>
      </c>
      <c r="K186" s="463"/>
      <c r="L186" s="375"/>
      <c r="M186" s="375"/>
      <c r="N186" s="464"/>
      <c r="O186" s="375"/>
      <c r="P186" s="443"/>
      <c r="Q186" s="479">
        <f t="shared" si="25"/>
        <v>0</v>
      </c>
    </row>
    <row r="187" spans="1:17" ht="18">
      <c r="A187" s="789"/>
      <c r="B187" s="705">
        <v>46256</v>
      </c>
      <c r="C187" s="454">
        <f t="shared" si="27"/>
        <v>10</v>
      </c>
      <c r="D187" s="440">
        <f>'22'!C44</f>
        <v>0</v>
      </c>
      <c r="E187" s="375"/>
      <c r="F187" s="451"/>
      <c r="G187" s="467"/>
      <c r="H187" s="442">
        <f t="shared" si="23"/>
        <v>0</v>
      </c>
      <c r="I187" s="442">
        <f t="shared" si="26"/>
        <v>10</v>
      </c>
      <c r="J187" s="453">
        <f t="shared" si="28"/>
        <v>0</v>
      </c>
      <c r="K187" s="463"/>
      <c r="L187" s="375"/>
      <c r="M187" s="375"/>
      <c r="N187" s="464"/>
      <c r="O187" s="375"/>
      <c r="P187" s="443"/>
      <c r="Q187" s="479">
        <f t="shared" si="25"/>
        <v>0</v>
      </c>
    </row>
    <row r="188" spans="1:17" ht="18">
      <c r="A188" s="789"/>
      <c r="B188" s="705">
        <v>46257</v>
      </c>
      <c r="C188" s="454">
        <f t="shared" si="27"/>
        <v>10</v>
      </c>
      <c r="D188" s="440">
        <f>'23'!C44</f>
        <v>0</v>
      </c>
      <c r="E188" s="375"/>
      <c r="F188" s="451"/>
      <c r="G188" s="467"/>
      <c r="H188" s="442">
        <f t="shared" si="23"/>
        <v>0</v>
      </c>
      <c r="I188" s="442">
        <f t="shared" si="26"/>
        <v>10</v>
      </c>
      <c r="J188" s="453">
        <f t="shared" si="28"/>
        <v>0</v>
      </c>
      <c r="K188" s="463"/>
      <c r="L188" s="375"/>
      <c r="M188" s="375"/>
      <c r="N188" s="464"/>
      <c r="O188" s="375"/>
      <c r="P188" s="443"/>
      <c r="Q188" s="479">
        <f t="shared" si="25"/>
        <v>0</v>
      </c>
    </row>
    <row r="189" spans="1:17" ht="18">
      <c r="A189" s="789"/>
      <c r="B189" s="705">
        <v>46258</v>
      </c>
      <c r="C189" s="454">
        <f t="shared" si="27"/>
        <v>10</v>
      </c>
      <c r="D189" s="440">
        <f>'24'!C44</f>
        <v>0</v>
      </c>
      <c r="E189" s="375"/>
      <c r="F189" s="451"/>
      <c r="G189" s="467"/>
      <c r="H189" s="442">
        <f t="shared" si="23"/>
        <v>0</v>
      </c>
      <c r="I189" s="442">
        <f t="shared" si="26"/>
        <v>10</v>
      </c>
      <c r="J189" s="453">
        <f t="shared" si="28"/>
        <v>0</v>
      </c>
      <c r="K189" s="463"/>
      <c r="L189" s="375"/>
      <c r="M189" s="375"/>
      <c r="N189" s="464"/>
      <c r="O189" s="375"/>
      <c r="P189" s="443"/>
      <c r="Q189" s="479">
        <f t="shared" si="25"/>
        <v>0</v>
      </c>
    </row>
    <row r="190" spans="1:17" ht="18">
      <c r="A190" s="789"/>
      <c r="B190" s="705">
        <v>46259</v>
      </c>
      <c r="C190" s="454">
        <f t="shared" si="27"/>
        <v>10</v>
      </c>
      <c r="D190" s="440">
        <f>'25'!C44</f>
        <v>0</v>
      </c>
      <c r="E190" s="375"/>
      <c r="F190" s="451"/>
      <c r="G190" s="467"/>
      <c r="H190" s="442">
        <f t="shared" si="23"/>
        <v>0</v>
      </c>
      <c r="I190" s="442">
        <f t="shared" si="26"/>
        <v>10</v>
      </c>
      <c r="J190" s="453">
        <f t="shared" si="28"/>
        <v>0</v>
      </c>
      <c r="K190" s="463"/>
      <c r="L190" s="375"/>
      <c r="M190" s="375"/>
      <c r="N190" s="464"/>
      <c r="O190" s="375"/>
      <c r="P190" s="443"/>
      <c r="Q190" s="479">
        <f t="shared" si="25"/>
        <v>0</v>
      </c>
    </row>
    <row r="191" spans="1:17" ht="18">
      <c r="A191" s="789"/>
      <c r="B191" s="705">
        <v>46260</v>
      </c>
      <c r="C191" s="454">
        <f t="shared" si="27"/>
        <v>10</v>
      </c>
      <c r="D191" s="440">
        <f>'26'!C44</f>
        <v>0</v>
      </c>
      <c r="E191" s="375"/>
      <c r="F191" s="451"/>
      <c r="G191" s="467"/>
      <c r="H191" s="442">
        <f t="shared" si="23"/>
        <v>0</v>
      </c>
      <c r="I191" s="442">
        <f t="shared" si="26"/>
        <v>10</v>
      </c>
      <c r="J191" s="453">
        <f t="shared" si="28"/>
        <v>0</v>
      </c>
      <c r="K191" s="463"/>
      <c r="L191" s="375"/>
      <c r="M191" s="375"/>
      <c r="N191" s="464"/>
      <c r="O191" s="375"/>
      <c r="P191" s="443"/>
      <c r="Q191" s="479">
        <f t="shared" si="25"/>
        <v>0</v>
      </c>
    </row>
    <row r="192" spans="1:17" ht="18.75" thickBot="1">
      <c r="A192" s="789"/>
      <c r="B192" s="705">
        <v>46261</v>
      </c>
      <c r="C192" s="454">
        <f t="shared" si="27"/>
        <v>10</v>
      </c>
      <c r="D192" s="440">
        <f>'27'!C44</f>
        <v>0</v>
      </c>
      <c r="E192" s="375"/>
      <c r="F192" s="375"/>
      <c r="G192" s="467"/>
      <c r="H192" s="442">
        <f t="shared" si="23"/>
        <v>0</v>
      </c>
      <c r="I192" s="442">
        <f t="shared" si="26"/>
        <v>10</v>
      </c>
      <c r="J192" s="453">
        <f t="shared" si="28"/>
        <v>0</v>
      </c>
      <c r="K192" s="463"/>
      <c r="L192" s="375"/>
      <c r="M192" s="375"/>
      <c r="N192" s="464"/>
      <c r="O192" s="375"/>
      <c r="P192" s="443"/>
      <c r="Q192" s="479">
        <f t="shared" si="25"/>
        <v>0</v>
      </c>
    </row>
    <row r="193" spans="1:17" ht="18.75" thickBot="1">
      <c r="A193" s="789"/>
      <c r="B193" s="705">
        <v>46262</v>
      </c>
      <c r="C193" s="454">
        <f t="shared" si="27"/>
        <v>10</v>
      </c>
      <c r="D193" s="440">
        <f>'28'!C44</f>
        <v>0</v>
      </c>
      <c r="E193" s="375"/>
      <c r="F193" s="375"/>
      <c r="G193" s="452"/>
      <c r="H193" s="442">
        <f t="shared" si="23"/>
        <v>0</v>
      </c>
      <c r="I193" s="442">
        <f t="shared" si="26"/>
        <v>10</v>
      </c>
      <c r="J193" s="453">
        <f t="shared" si="28"/>
        <v>0</v>
      </c>
      <c r="K193" s="463"/>
      <c r="L193" s="375"/>
      <c r="M193" s="375"/>
      <c r="N193" s="375"/>
      <c r="O193" s="375"/>
      <c r="P193" s="443"/>
      <c r="Q193" s="479">
        <f t="shared" si="25"/>
        <v>0</v>
      </c>
    </row>
    <row r="194" spans="1:17" ht="18.75" thickBot="1">
      <c r="A194" s="789"/>
      <c r="B194" s="705">
        <v>46263</v>
      </c>
      <c r="C194" s="454">
        <f t="shared" si="27"/>
        <v>10</v>
      </c>
      <c r="D194" s="440">
        <f>'29'!C44</f>
        <v>0</v>
      </c>
      <c r="E194" s="375"/>
      <c r="F194" s="375"/>
      <c r="G194" s="443"/>
      <c r="H194" s="442">
        <f t="shared" si="23"/>
        <v>0</v>
      </c>
      <c r="I194" s="442">
        <f t="shared" si="26"/>
        <v>10</v>
      </c>
      <c r="J194" s="453">
        <f t="shared" si="28"/>
        <v>0</v>
      </c>
      <c r="K194" s="463"/>
      <c r="L194" s="375"/>
      <c r="M194" s="375"/>
      <c r="N194" s="375"/>
      <c r="O194" s="375"/>
      <c r="P194" s="443"/>
      <c r="Q194" s="479">
        <f t="shared" si="25"/>
        <v>0</v>
      </c>
    </row>
    <row r="195" spans="1:17" ht="18.75" thickBot="1">
      <c r="A195" s="789"/>
      <c r="B195" s="705">
        <v>46264</v>
      </c>
      <c r="C195" s="454">
        <f t="shared" si="27"/>
        <v>10</v>
      </c>
      <c r="D195" s="440">
        <f>'30'!C44</f>
        <v>0</v>
      </c>
      <c r="E195" s="375"/>
      <c r="F195" s="375"/>
      <c r="G195" s="443"/>
      <c r="H195" s="442">
        <f t="shared" si="23"/>
        <v>0</v>
      </c>
      <c r="I195" s="442">
        <f t="shared" si="26"/>
        <v>10</v>
      </c>
      <c r="J195" s="453">
        <f t="shared" si="28"/>
        <v>0</v>
      </c>
      <c r="K195" s="463"/>
      <c r="L195" s="375"/>
      <c r="M195" s="375"/>
      <c r="N195" s="375"/>
      <c r="O195" s="375"/>
      <c r="P195" s="443"/>
      <c r="Q195" s="479">
        <f t="shared" si="25"/>
        <v>0</v>
      </c>
    </row>
    <row r="196" spans="1:17" ht="18.75" thickBot="1">
      <c r="A196" s="789"/>
      <c r="B196" s="705">
        <v>46265</v>
      </c>
      <c r="C196" s="454">
        <f t="shared" si="27"/>
        <v>10</v>
      </c>
      <c r="D196" s="440">
        <f>'31'!C43</f>
        <v>0</v>
      </c>
      <c r="E196" s="375"/>
      <c r="F196" s="375"/>
      <c r="G196" s="702"/>
      <c r="H196" s="442">
        <f t="shared" si="23"/>
        <v>0</v>
      </c>
      <c r="I196" s="442">
        <f t="shared" si="26"/>
        <v>10</v>
      </c>
      <c r="J196" s="453">
        <f t="shared" si="28"/>
        <v>0</v>
      </c>
      <c r="K196" s="463"/>
      <c r="L196" s="375"/>
      <c r="M196" s="375"/>
      <c r="N196" s="375"/>
      <c r="O196" s="375"/>
      <c r="P196" s="443"/>
      <c r="Q196" s="479">
        <f t="shared" si="25"/>
        <v>0</v>
      </c>
    </row>
    <row r="197" spans="1:17" ht="16.5" thickBot="1">
      <c r="A197" s="791"/>
      <c r="B197" s="766" t="s">
        <v>81</v>
      </c>
      <c r="C197" s="767"/>
      <c r="D197" s="781"/>
      <c r="E197" s="767"/>
      <c r="F197" s="767"/>
      <c r="G197" s="767"/>
      <c r="H197" s="484">
        <f>SUM(H166:H196)</f>
        <v>10</v>
      </c>
      <c r="I197" s="485"/>
      <c r="J197" s="486"/>
      <c r="K197" s="475">
        <f>SUM(K166:K196)</f>
        <v>0</v>
      </c>
      <c r="L197" s="487"/>
      <c r="M197" s="487">
        <f>SUM(M166:M196)</f>
        <v>0</v>
      </c>
      <c r="N197" s="474"/>
      <c r="O197" s="474"/>
      <c r="P197" s="487"/>
      <c r="Q197" s="481"/>
    </row>
    <row r="198" spans="1:17" ht="18">
      <c r="A198" s="788" t="s">
        <v>82</v>
      </c>
      <c r="B198" s="705">
        <v>46235</v>
      </c>
      <c r="C198" s="491">
        <f>'1'!B39</f>
        <v>0</v>
      </c>
      <c r="D198" s="440">
        <f>'1'!C39</f>
        <v>0</v>
      </c>
      <c r="E198" s="369"/>
      <c r="F198" s="369"/>
      <c r="G198" s="494"/>
      <c r="H198" s="442">
        <f t="shared" si="23"/>
        <v>0</v>
      </c>
      <c r="I198" s="442">
        <f>C198+D198-H198</f>
        <v>0</v>
      </c>
      <c r="J198" s="458">
        <v>0</v>
      </c>
      <c r="K198" s="459"/>
      <c r="L198" s="369"/>
      <c r="M198" s="369"/>
      <c r="N198" s="496"/>
      <c r="O198" s="369"/>
      <c r="P198" s="461"/>
      <c r="Q198" s="479">
        <f t="shared" si="25"/>
        <v>0</v>
      </c>
    </row>
    <row r="199" spans="1:17" ht="18">
      <c r="A199" s="789"/>
      <c r="B199" s="705">
        <v>46236</v>
      </c>
      <c r="C199" s="454">
        <f>I198</f>
        <v>0</v>
      </c>
      <c r="D199" s="440">
        <f>'2'!C39</f>
        <v>0</v>
      </c>
      <c r="E199" s="375"/>
      <c r="F199" s="375"/>
      <c r="G199" s="441"/>
      <c r="H199" s="442">
        <f t="shared" si="23"/>
        <v>0</v>
      </c>
      <c r="I199" s="442">
        <f t="shared" ref="I199:I228" si="29">C199+D199-H199</f>
        <v>0</v>
      </c>
      <c r="J199" s="453">
        <f>Q198</f>
        <v>0</v>
      </c>
      <c r="K199" s="463"/>
      <c r="L199" s="375"/>
      <c r="M199" s="375"/>
      <c r="N199" s="464"/>
      <c r="O199" s="375"/>
      <c r="P199" s="443"/>
      <c r="Q199" s="479">
        <f t="shared" si="25"/>
        <v>0</v>
      </c>
    </row>
    <row r="200" spans="1:17" ht="18">
      <c r="A200" s="789"/>
      <c r="B200" s="705">
        <v>46237</v>
      </c>
      <c r="C200" s="454">
        <f t="shared" ref="C200:C228" si="30">I199</f>
        <v>0</v>
      </c>
      <c r="D200" s="440">
        <f>'3'!C39</f>
        <v>0</v>
      </c>
      <c r="E200" s="375"/>
      <c r="F200" s="375"/>
      <c r="G200" s="441"/>
      <c r="H200" s="442">
        <f t="shared" si="23"/>
        <v>0</v>
      </c>
      <c r="I200" s="442">
        <f t="shared" si="29"/>
        <v>0</v>
      </c>
      <c r="J200" s="453">
        <f t="shared" ref="J200:J228" si="31">Q199</f>
        <v>0</v>
      </c>
      <c r="K200" s="463"/>
      <c r="L200" s="375"/>
      <c r="M200" s="375"/>
      <c r="N200" s="464"/>
      <c r="O200" s="375"/>
      <c r="P200" s="443"/>
      <c r="Q200" s="479">
        <f t="shared" si="25"/>
        <v>0</v>
      </c>
    </row>
    <row r="201" spans="1:17" ht="18">
      <c r="A201" s="789"/>
      <c r="B201" s="705">
        <v>46238</v>
      </c>
      <c r="C201" s="454">
        <f t="shared" si="30"/>
        <v>0</v>
      </c>
      <c r="D201" s="440">
        <f>'4'!C39</f>
        <v>0</v>
      </c>
      <c r="E201" s="375"/>
      <c r="F201" s="375"/>
      <c r="G201" s="441"/>
      <c r="H201" s="442">
        <f t="shared" si="23"/>
        <v>0</v>
      </c>
      <c r="I201" s="442">
        <f t="shared" si="29"/>
        <v>0</v>
      </c>
      <c r="J201" s="453">
        <f t="shared" si="31"/>
        <v>0</v>
      </c>
      <c r="K201" s="463"/>
      <c r="L201" s="375"/>
      <c r="M201" s="375"/>
      <c r="N201" s="375"/>
      <c r="O201" s="375"/>
      <c r="P201" s="443"/>
      <c r="Q201" s="479">
        <f t="shared" si="25"/>
        <v>0</v>
      </c>
    </row>
    <row r="202" spans="1:17" ht="18">
      <c r="A202" s="789"/>
      <c r="B202" s="705">
        <v>46239</v>
      </c>
      <c r="C202" s="454">
        <f t="shared" si="30"/>
        <v>0</v>
      </c>
      <c r="D202" s="440">
        <f>'5'!C40</f>
        <v>0</v>
      </c>
      <c r="E202" s="375"/>
      <c r="F202" s="375"/>
      <c r="G202" s="441"/>
      <c r="H202" s="442">
        <f t="shared" si="23"/>
        <v>0</v>
      </c>
      <c r="I202" s="442">
        <f t="shared" si="29"/>
        <v>0</v>
      </c>
      <c r="J202" s="453">
        <f t="shared" si="31"/>
        <v>0</v>
      </c>
      <c r="K202" s="463"/>
      <c r="L202" s="375"/>
      <c r="M202" s="375"/>
      <c r="N202" s="375"/>
      <c r="O202" s="375"/>
      <c r="P202" s="443"/>
      <c r="Q202" s="479">
        <f t="shared" si="25"/>
        <v>0</v>
      </c>
    </row>
    <row r="203" spans="1:17" s="405" customFormat="1" ht="18">
      <c r="A203" s="789"/>
      <c r="B203" s="705">
        <v>46240</v>
      </c>
      <c r="C203" s="454">
        <f t="shared" si="30"/>
        <v>0</v>
      </c>
      <c r="D203" s="440">
        <f>'6'!C39</f>
        <v>0</v>
      </c>
      <c r="E203" s="375"/>
      <c r="F203" s="375"/>
      <c r="G203" s="441"/>
      <c r="H203" s="442">
        <f t="shared" si="23"/>
        <v>0</v>
      </c>
      <c r="I203" s="442">
        <f t="shared" si="29"/>
        <v>0</v>
      </c>
      <c r="J203" s="453">
        <f t="shared" si="31"/>
        <v>0</v>
      </c>
      <c r="K203" s="463"/>
      <c r="L203" s="375"/>
      <c r="M203" s="375"/>
      <c r="N203" s="375"/>
      <c r="O203" s="375"/>
      <c r="P203" s="443"/>
      <c r="Q203" s="479">
        <f t="shared" si="25"/>
        <v>0</v>
      </c>
    </row>
    <row r="204" spans="1:17" ht="18">
      <c r="A204" s="789"/>
      <c r="B204" s="705">
        <v>46241</v>
      </c>
      <c r="C204" s="454">
        <f t="shared" si="30"/>
        <v>0</v>
      </c>
      <c r="D204" s="440">
        <f>'7'!C40</f>
        <v>0</v>
      </c>
      <c r="E204" s="375"/>
      <c r="F204" s="375"/>
      <c r="G204" s="441"/>
      <c r="H204" s="442">
        <f t="shared" si="23"/>
        <v>0</v>
      </c>
      <c r="I204" s="442">
        <f t="shared" si="29"/>
        <v>0</v>
      </c>
      <c r="J204" s="453">
        <f t="shared" si="31"/>
        <v>0</v>
      </c>
      <c r="K204" s="463"/>
      <c r="L204" s="375"/>
      <c r="M204" s="375"/>
      <c r="N204" s="375"/>
      <c r="O204" s="375"/>
      <c r="P204" s="443"/>
      <c r="Q204" s="479">
        <f t="shared" si="25"/>
        <v>0</v>
      </c>
    </row>
    <row r="205" spans="1:17" ht="18">
      <c r="A205" s="789"/>
      <c r="B205" s="705">
        <v>46242</v>
      </c>
      <c r="C205" s="454">
        <f t="shared" si="30"/>
        <v>0</v>
      </c>
      <c r="D205" s="440">
        <f>'8'!C40</f>
        <v>0</v>
      </c>
      <c r="E205" s="375"/>
      <c r="F205" s="375"/>
      <c r="G205" s="441"/>
      <c r="H205" s="442">
        <f t="shared" ref="H205:H228" si="32">SUM(E205,F205)</f>
        <v>0</v>
      </c>
      <c r="I205" s="442">
        <f t="shared" si="29"/>
        <v>0</v>
      </c>
      <c r="J205" s="453">
        <f t="shared" si="31"/>
        <v>0</v>
      </c>
      <c r="K205" s="463"/>
      <c r="L205" s="375"/>
      <c r="M205" s="375"/>
      <c r="N205" s="375"/>
      <c r="O205" s="375"/>
      <c r="P205" s="443"/>
      <c r="Q205" s="479">
        <f t="shared" ref="Q205:Q228" si="33">SUM(J205+K205-L205-M205)</f>
        <v>0</v>
      </c>
    </row>
    <row r="206" spans="1:17" ht="18">
      <c r="A206" s="789"/>
      <c r="B206" s="705">
        <v>46243</v>
      </c>
      <c r="C206" s="454">
        <f t="shared" si="30"/>
        <v>0</v>
      </c>
      <c r="D206" s="440">
        <f>'9'!C40</f>
        <v>0</v>
      </c>
      <c r="E206" s="375"/>
      <c r="F206" s="375"/>
      <c r="G206" s="443"/>
      <c r="H206" s="442">
        <f t="shared" si="32"/>
        <v>0</v>
      </c>
      <c r="I206" s="442">
        <f t="shared" si="29"/>
        <v>0</v>
      </c>
      <c r="J206" s="453">
        <f t="shared" si="31"/>
        <v>0</v>
      </c>
      <c r="K206" s="463"/>
      <c r="L206" s="375"/>
      <c r="M206" s="375"/>
      <c r="N206" s="375"/>
      <c r="O206" s="375"/>
      <c r="P206" s="443"/>
      <c r="Q206" s="479">
        <f t="shared" si="33"/>
        <v>0</v>
      </c>
    </row>
    <row r="207" spans="1:17" ht="18">
      <c r="A207" s="789"/>
      <c r="B207" s="705">
        <v>46244</v>
      </c>
      <c r="C207" s="454">
        <f t="shared" si="30"/>
        <v>0</v>
      </c>
      <c r="D207" s="440">
        <f>'10'!C40</f>
        <v>0</v>
      </c>
      <c r="E207" s="375"/>
      <c r="F207" s="375"/>
      <c r="G207" s="443"/>
      <c r="H207" s="442">
        <f t="shared" si="32"/>
        <v>0</v>
      </c>
      <c r="I207" s="442">
        <f t="shared" si="29"/>
        <v>0</v>
      </c>
      <c r="J207" s="453">
        <f t="shared" si="31"/>
        <v>0</v>
      </c>
      <c r="K207" s="463"/>
      <c r="L207" s="375"/>
      <c r="M207" s="375"/>
      <c r="N207" s="375"/>
      <c r="O207" s="375"/>
      <c r="P207" s="443"/>
      <c r="Q207" s="479">
        <f t="shared" si="33"/>
        <v>0</v>
      </c>
    </row>
    <row r="208" spans="1:17" ht="18">
      <c r="A208" s="789"/>
      <c r="B208" s="705">
        <v>46245</v>
      </c>
      <c r="C208" s="454">
        <f t="shared" si="30"/>
        <v>0</v>
      </c>
      <c r="D208" s="440">
        <f>'11'!C40</f>
        <v>0</v>
      </c>
      <c r="E208" s="375"/>
      <c r="F208" s="375"/>
      <c r="G208" s="443"/>
      <c r="H208" s="442">
        <f t="shared" si="32"/>
        <v>0</v>
      </c>
      <c r="I208" s="442">
        <f t="shared" si="29"/>
        <v>0</v>
      </c>
      <c r="J208" s="453">
        <f t="shared" si="31"/>
        <v>0</v>
      </c>
      <c r="K208" s="463"/>
      <c r="L208" s="375"/>
      <c r="M208" s="375"/>
      <c r="N208" s="375"/>
      <c r="O208" s="375"/>
      <c r="P208" s="443"/>
      <c r="Q208" s="479">
        <f t="shared" si="33"/>
        <v>0</v>
      </c>
    </row>
    <row r="209" spans="1:17" ht="18">
      <c r="A209" s="789"/>
      <c r="B209" s="705">
        <v>46246</v>
      </c>
      <c r="C209" s="454">
        <f t="shared" si="30"/>
        <v>0</v>
      </c>
      <c r="D209" s="440">
        <f>'12'!C40</f>
        <v>0</v>
      </c>
      <c r="E209" s="375"/>
      <c r="F209" s="375"/>
      <c r="G209" s="443"/>
      <c r="H209" s="442">
        <f t="shared" si="32"/>
        <v>0</v>
      </c>
      <c r="I209" s="442">
        <f t="shared" si="29"/>
        <v>0</v>
      </c>
      <c r="J209" s="453">
        <f t="shared" si="31"/>
        <v>0</v>
      </c>
      <c r="K209" s="463"/>
      <c r="L209" s="375"/>
      <c r="M209" s="375"/>
      <c r="N209" s="375"/>
      <c r="O209" s="375"/>
      <c r="P209" s="443"/>
      <c r="Q209" s="479">
        <f t="shared" si="33"/>
        <v>0</v>
      </c>
    </row>
    <row r="210" spans="1:17" ht="18">
      <c r="A210" s="789"/>
      <c r="B210" s="705">
        <v>46247</v>
      </c>
      <c r="C210" s="454">
        <f t="shared" si="30"/>
        <v>0</v>
      </c>
      <c r="D210" s="440">
        <f>'13'!C40</f>
        <v>0</v>
      </c>
      <c r="E210" s="375"/>
      <c r="F210" s="375"/>
      <c r="G210" s="441"/>
      <c r="H210" s="442">
        <f t="shared" si="32"/>
        <v>0</v>
      </c>
      <c r="I210" s="442">
        <f t="shared" si="29"/>
        <v>0</v>
      </c>
      <c r="J210" s="453">
        <f t="shared" si="31"/>
        <v>0</v>
      </c>
      <c r="K210" s="463"/>
      <c r="L210" s="375"/>
      <c r="M210" s="375"/>
      <c r="N210" s="375"/>
      <c r="O210" s="375"/>
      <c r="P210" s="443"/>
      <c r="Q210" s="479">
        <f t="shared" si="33"/>
        <v>0</v>
      </c>
    </row>
    <row r="211" spans="1:17" ht="18">
      <c r="A211" s="789"/>
      <c r="B211" s="705">
        <v>46248</v>
      </c>
      <c r="C211" s="454">
        <f t="shared" si="30"/>
        <v>0</v>
      </c>
      <c r="D211" s="440">
        <f>'14'!C40</f>
        <v>0</v>
      </c>
      <c r="E211" s="375"/>
      <c r="F211" s="375"/>
      <c r="G211" s="443"/>
      <c r="H211" s="442">
        <f t="shared" si="32"/>
        <v>0</v>
      </c>
      <c r="I211" s="442">
        <f t="shared" si="29"/>
        <v>0</v>
      </c>
      <c r="J211" s="453">
        <f t="shared" si="31"/>
        <v>0</v>
      </c>
      <c r="K211" s="463"/>
      <c r="L211" s="375"/>
      <c r="M211" s="375"/>
      <c r="N211" s="375"/>
      <c r="O211" s="375"/>
      <c r="P211" s="443"/>
      <c r="Q211" s="479">
        <f t="shared" si="33"/>
        <v>0</v>
      </c>
    </row>
    <row r="212" spans="1:17" ht="18">
      <c r="A212" s="789"/>
      <c r="B212" s="705">
        <v>46249</v>
      </c>
      <c r="C212" s="454">
        <f t="shared" si="30"/>
        <v>0</v>
      </c>
      <c r="D212" s="440">
        <f>'15'!C40</f>
        <v>0</v>
      </c>
      <c r="E212" s="375"/>
      <c r="F212" s="375"/>
      <c r="G212" s="443"/>
      <c r="H212" s="442">
        <f t="shared" si="32"/>
        <v>0</v>
      </c>
      <c r="I212" s="442">
        <f t="shared" si="29"/>
        <v>0</v>
      </c>
      <c r="J212" s="453">
        <f t="shared" si="31"/>
        <v>0</v>
      </c>
      <c r="K212" s="463"/>
      <c r="L212" s="375"/>
      <c r="M212" s="375"/>
      <c r="N212" s="375"/>
      <c r="O212" s="375"/>
      <c r="P212" s="443"/>
      <c r="Q212" s="479">
        <f t="shared" si="33"/>
        <v>0</v>
      </c>
    </row>
    <row r="213" spans="1:17" ht="18">
      <c r="A213" s="789"/>
      <c r="B213" s="705">
        <v>46250</v>
      </c>
      <c r="C213" s="454">
        <f t="shared" si="30"/>
        <v>0</v>
      </c>
      <c r="D213" s="440">
        <f>'16'!C40</f>
        <v>0</v>
      </c>
      <c r="E213" s="375"/>
      <c r="F213" s="375"/>
      <c r="G213" s="443"/>
      <c r="H213" s="442">
        <f t="shared" si="32"/>
        <v>0</v>
      </c>
      <c r="I213" s="442">
        <f t="shared" si="29"/>
        <v>0</v>
      </c>
      <c r="J213" s="453">
        <f t="shared" si="31"/>
        <v>0</v>
      </c>
      <c r="K213" s="463"/>
      <c r="L213" s="375"/>
      <c r="M213" s="375"/>
      <c r="N213" s="375"/>
      <c r="O213" s="375"/>
      <c r="P213" s="443"/>
      <c r="Q213" s="479">
        <f t="shared" si="33"/>
        <v>0</v>
      </c>
    </row>
    <row r="214" spans="1:17" ht="18">
      <c r="A214" s="789"/>
      <c r="B214" s="705">
        <v>46251</v>
      </c>
      <c r="C214" s="454">
        <f t="shared" si="30"/>
        <v>0</v>
      </c>
      <c r="D214" s="440">
        <f>'17'!C40</f>
        <v>0</v>
      </c>
      <c r="E214" s="375"/>
      <c r="F214" s="375"/>
      <c r="G214" s="443"/>
      <c r="H214" s="442">
        <f t="shared" si="32"/>
        <v>0</v>
      </c>
      <c r="I214" s="442">
        <f t="shared" si="29"/>
        <v>0</v>
      </c>
      <c r="J214" s="453">
        <f t="shared" si="31"/>
        <v>0</v>
      </c>
      <c r="K214" s="463"/>
      <c r="L214" s="375"/>
      <c r="M214" s="375"/>
      <c r="N214" s="375"/>
      <c r="O214" s="375"/>
      <c r="P214" s="443"/>
      <c r="Q214" s="479">
        <f t="shared" si="33"/>
        <v>0</v>
      </c>
    </row>
    <row r="215" spans="1:17" ht="18">
      <c r="A215" s="789"/>
      <c r="B215" s="705">
        <v>46252</v>
      </c>
      <c r="C215" s="454">
        <f t="shared" si="30"/>
        <v>0</v>
      </c>
      <c r="D215" s="440">
        <f>'18'!C40</f>
        <v>0</v>
      </c>
      <c r="E215" s="375"/>
      <c r="F215" s="375"/>
      <c r="G215" s="443"/>
      <c r="H215" s="442">
        <f t="shared" si="32"/>
        <v>0</v>
      </c>
      <c r="I215" s="442">
        <f t="shared" si="29"/>
        <v>0</v>
      </c>
      <c r="J215" s="453">
        <f t="shared" si="31"/>
        <v>0</v>
      </c>
      <c r="K215" s="463"/>
      <c r="L215" s="375"/>
      <c r="M215" s="375"/>
      <c r="N215" s="375"/>
      <c r="O215" s="375"/>
      <c r="P215" s="443"/>
      <c r="Q215" s="479">
        <f t="shared" si="33"/>
        <v>0</v>
      </c>
    </row>
    <row r="216" spans="1:17" ht="18">
      <c r="A216" s="789"/>
      <c r="B216" s="705">
        <v>46253</v>
      </c>
      <c r="C216" s="454">
        <f t="shared" si="30"/>
        <v>0</v>
      </c>
      <c r="D216" s="440">
        <f>'19'!C40</f>
        <v>0</v>
      </c>
      <c r="E216" s="375"/>
      <c r="F216" s="375"/>
      <c r="G216" s="443"/>
      <c r="H216" s="442">
        <f t="shared" si="32"/>
        <v>0</v>
      </c>
      <c r="I216" s="442">
        <f t="shared" si="29"/>
        <v>0</v>
      </c>
      <c r="J216" s="453">
        <f t="shared" si="31"/>
        <v>0</v>
      </c>
      <c r="K216" s="463"/>
      <c r="L216" s="375"/>
      <c r="M216" s="375"/>
      <c r="N216" s="375"/>
      <c r="O216" s="375"/>
      <c r="P216" s="443"/>
      <c r="Q216" s="479">
        <f t="shared" si="33"/>
        <v>0</v>
      </c>
    </row>
    <row r="217" spans="1:17" ht="18">
      <c r="A217" s="789"/>
      <c r="B217" s="705">
        <v>46254</v>
      </c>
      <c r="C217" s="454">
        <f t="shared" si="30"/>
        <v>0</v>
      </c>
      <c r="D217" s="440">
        <f>'20'!C40</f>
        <v>0</v>
      </c>
      <c r="E217" s="375"/>
      <c r="F217" s="375"/>
      <c r="G217" s="443"/>
      <c r="H217" s="442">
        <f t="shared" si="32"/>
        <v>0</v>
      </c>
      <c r="I217" s="442">
        <f t="shared" si="29"/>
        <v>0</v>
      </c>
      <c r="J217" s="453">
        <f t="shared" si="31"/>
        <v>0</v>
      </c>
      <c r="K217" s="463"/>
      <c r="L217" s="375"/>
      <c r="M217" s="375"/>
      <c r="N217" s="375"/>
      <c r="O217" s="375"/>
      <c r="P217" s="443"/>
      <c r="Q217" s="479">
        <f t="shared" si="33"/>
        <v>0</v>
      </c>
    </row>
    <row r="218" spans="1:17" ht="18">
      <c r="A218" s="789"/>
      <c r="B218" s="705">
        <v>46255</v>
      </c>
      <c r="C218" s="454">
        <f t="shared" si="30"/>
        <v>0</v>
      </c>
      <c r="D218" s="440">
        <f>'21'!C40</f>
        <v>0</v>
      </c>
      <c r="E218" s="375"/>
      <c r="F218" s="375"/>
      <c r="G218" s="443"/>
      <c r="H218" s="442">
        <f t="shared" si="32"/>
        <v>0</v>
      </c>
      <c r="I218" s="442">
        <f t="shared" si="29"/>
        <v>0</v>
      </c>
      <c r="J218" s="453">
        <f t="shared" si="31"/>
        <v>0</v>
      </c>
      <c r="K218" s="463"/>
      <c r="L218" s="375"/>
      <c r="M218" s="375"/>
      <c r="N218" s="375"/>
      <c r="O218" s="375"/>
      <c r="P218" s="443"/>
      <c r="Q218" s="479">
        <f t="shared" si="33"/>
        <v>0</v>
      </c>
    </row>
    <row r="219" spans="1:17" ht="18">
      <c r="A219" s="789"/>
      <c r="B219" s="705">
        <v>46256</v>
      </c>
      <c r="C219" s="454">
        <f t="shared" si="30"/>
        <v>0</v>
      </c>
      <c r="D219" s="440">
        <f>'22'!C40</f>
        <v>0</v>
      </c>
      <c r="E219" s="375"/>
      <c r="F219" s="375"/>
      <c r="G219" s="441"/>
      <c r="H219" s="442">
        <f t="shared" si="32"/>
        <v>0</v>
      </c>
      <c r="I219" s="442">
        <f t="shared" si="29"/>
        <v>0</v>
      </c>
      <c r="J219" s="453">
        <f t="shared" si="31"/>
        <v>0</v>
      </c>
      <c r="K219" s="463"/>
      <c r="L219" s="375"/>
      <c r="M219" s="375"/>
      <c r="N219" s="375"/>
      <c r="O219" s="375"/>
      <c r="P219" s="443"/>
      <c r="Q219" s="479">
        <f t="shared" si="33"/>
        <v>0</v>
      </c>
    </row>
    <row r="220" spans="1:17" ht="18">
      <c r="A220" s="789"/>
      <c r="B220" s="705">
        <v>46257</v>
      </c>
      <c r="C220" s="454">
        <f t="shared" si="30"/>
        <v>0</v>
      </c>
      <c r="D220" s="440">
        <f>'23'!C40</f>
        <v>0</v>
      </c>
      <c r="E220" s="375"/>
      <c r="F220" s="375"/>
      <c r="G220" s="441"/>
      <c r="H220" s="442">
        <f t="shared" si="32"/>
        <v>0</v>
      </c>
      <c r="I220" s="442">
        <f t="shared" si="29"/>
        <v>0</v>
      </c>
      <c r="J220" s="453">
        <f t="shared" si="31"/>
        <v>0</v>
      </c>
      <c r="K220" s="463"/>
      <c r="L220" s="375"/>
      <c r="M220" s="375"/>
      <c r="N220" s="375"/>
      <c r="O220" s="375"/>
      <c r="P220" s="443"/>
      <c r="Q220" s="479">
        <f t="shared" si="33"/>
        <v>0</v>
      </c>
    </row>
    <row r="221" spans="1:17" ht="18">
      <c r="A221" s="789"/>
      <c r="B221" s="705">
        <v>46258</v>
      </c>
      <c r="C221" s="454">
        <f t="shared" si="30"/>
        <v>0</v>
      </c>
      <c r="D221" s="440">
        <f>'24'!C40</f>
        <v>0</v>
      </c>
      <c r="E221" s="375"/>
      <c r="F221" s="375"/>
      <c r="G221" s="441"/>
      <c r="H221" s="442">
        <f t="shared" si="32"/>
        <v>0</v>
      </c>
      <c r="I221" s="442">
        <f t="shared" si="29"/>
        <v>0</v>
      </c>
      <c r="J221" s="453">
        <f t="shared" si="31"/>
        <v>0</v>
      </c>
      <c r="K221" s="463"/>
      <c r="L221" s="375"/>
      <c r="M221" s="375"/>
      <c r="N221" s="375"/>
      <c r="O221" s="375"/>
      <c r="P221" s="443"/>
      <c r="Q221" s="479">
        <f t="shared" si="33"/>
        <v>0</v>
      </c>
    </row>
    <row r="222" spans="1:17" ht="18">
      <c r="A222" s="789"/>
      <c r="B222" s="705">
        <v>46259</v>
      </c>
      <c r="C222" s="454">
        <f t="shared" si="30"/>
        <v>0</v>
      </c>
      <c r="D222" s="440">
        <f>'25'!C40</f>
        <v>0</v>
      </c>
      <c r="E222" s="375"/>
      <c r="F222" s="375"/>
      <c r="G222" s="441"/>
      <c r="H222" s="442">
        <f t="shared" si="32"/>
        <v>0</v>
      </c>
      <c r="I222" s="442">
        <f t="shared" si="29"/>
        <v>0</v>
      </c>
      <c r="J222" s="453">
        <f t="shared" si="31"/>
        <v>0</v>
      </c>
      <c r="K222" s="463"/>
      <c r="L222" s="375"/>
      <c r="M222" s="375"/>
      <c r="N222" s="375"/>
      <c r="O222" s="375"/>
      <c r="P222" s="443"/>
      <c r="Q222" s="479">
        <f t="shared" si="33"/>
        <v>0</v>
      </c>
    </row>
    <row r="223" spans="1:17" ht="18">
      <c r="A223" s="789"/>
      <c r="B223" s="705">
        <v>46260</v>
      </c>
      <c r="C223" s="454">
        <f t="shared" si="30"/>
        <v>0</v>
      </c>
      <c r="D223" s="440">
        <f>'26'!C40</f>
        <v>0</v>
      </c>
      <c r="E223" s="375"/>
      <c r="F223" s="375"/>
      <c r="G223" s="441"/>
      <c r="H223" s="442">
        <f t="shared" si="32"/>
        <v>0</v>
      </c>
      <c r="I223" s="442">
        <f t="shared" si="29"/>
        <v>0</v>
      </c>
      <c r="J223" s="453">
        <f t="shared" si="31"/>
        <v>0</v>
      </c>
      <c r="K223" s="463"/>
      <c r="L223" s="375"/>
      <c r="M223" s="375"/>
      <c r="N223" s="375"/>
      <c r="O223" s="375"/>
      <c r="P223" s="443"/>
      <c r="Q223" s="479">
        <f t="shared" si="33"/>
        <v>0</v>
      </c>
    </row>
    <row r="224" spans="1:17" ht="18">
      <c r="A224" s="789"/>
      <c r="B224" s="705">
        <v>46261</v>
      </c>
      <c r="C224" s="454">
        <f t="shared" si="30"/>
        <v>0</v>
      </c>
      <c r="D224" s="440">
        <f>'27'!C40</f>
        <v>0</v>
      </c>
      <c r="E224" s="375"/>
      <c r="F224" s="375"/>
      <c r="G224" s="441"/>
      <c r="H224" s="442">
        <f t="shared" si="32"/>
        <v>0</v>
      </c>
      <c r="I224" s="442">
        <f t="shared" si="29"/>
        <v>0</v>
      </c>
      <c r="J224" s="453">
        <f t="shared" si="31"/>
        <v>0</v>
      </c>
      <c r="K224" s="463"/>
      <c r="L224" s="375"/>
      <c r="M224" s="375"/>
      <c r="N224" s="375"/>
      <c r="O224" s="375"/>
      <c r="P224" s="443"/>
      <c r="Q224" s="479">
        <f t="shared" si="33"/>
        <v>0</v>
      </c>
    </row>
    <row r="225" spans="1:17" ht="18">
      <c r="A225" s="789"/>
      <c r="B225" s="705">
        <v>46262</v>
      </c>
      <c r="C225" s="454">
        <f t="shared" si="30"/>
        <v>0</v>
      </c>
      <c r="D225" s="440">
        <f>'28'!C40</f>
        <v>0</v>
      </c>
      <c r="E225" s="375"/>
      <c r="F225" s="375"/>
      <c r="G225" s="443"/>
      <c r="H225" s="442">
        <f t="shared" si="32"/>
        <v>0</v>
      </c>
      <c r="I225" s="442">
        <f t="shared" si="29"/>
        <v>0</v>
      </c>
      <c r="J225" s="453">
        <f t="shared" si="31"/>
        <v>0</v>
      </c>
      <c r="K225" s="463"/>
      <c r="L225" s="375"/>
      <c r="M225" s="375"/>
      <c r="N225" s="375"/>
      <c r="O225" s="375"/>
      <c r="P225" s="443"/>
      <c r="Q225" s="479">
        <f t="shared" si="33"/>
        <v>0</v>
      </c>
    </row>
    <row r="226" spans="1:17" ht="18">
      <c r="A226" s="789"/>
      <c r="B226" s="705">
        <v>46263</v>
      </c>
      <c r="C226" s="454">
        <f t="shared" si="30"/>
        <v>0</v>
      </c>
      <c r="D226" s="440">
        <f>'29'!C40</f>
        <v>0</v>
      </c>
      <c r="E226" s="375"/>
      <c r="F226" s="375"/>
      <c r="G226" s="441"/>
      <c r="H226" s="442">
        <f t="shared" si="32"/>
        <v>0</v>
      </c>
      <c r="I226" s="442">
        <f t="shared" si="29"/>
        <v>0</v>
      </c>
      <c r="J226" s="453">
        <f t="shared" si="31"/>
        <v>0</v>
      </c>
      <c r="K226" s="463"/>
      <c r="L226" s="375"/>
      <c r="M226" s="375"/>
      <c r="N226" s="375"/>
      <c r="O226" s="375"/>
      <c r="P226" s="443"/>
      <c r="Q226" s="479">
        <f t="shared" si="33"/>
        <v>0</v>
      </c>
    </row>
    <row r="227" spans="1:17" ht="18">
      <c r="A227" s="789"/>
      <c r="B227" s="705">
        <v>46264</v>
      </c>
      <c r="C227" s="454">
        <f t="shared" si="30"/>
        <v>0</v>
      </c>
      <c r="D227" s="440">
        <f>'30'!C40</f>
        <v>0</v>
      </c>
      <c r="E227" s="375"/>
      <c r="F227" s="375"/>
      <c r="G227" s="441"/>
      <c r="H227" s="442">
        <f t="shared" si="32"/>
        <v>0</v>
      </c>
      <c r="I227" s="442">
        <f t="shared" si="29"/>
        <v>0</v>
      </c>
      <c r="J227" s="453">
        <f t="shared" si="31"/>
        <v>0</v>
      </c>
      <c r="K227" s="463"/>
      <c r="L227" s="375"/>
      <c r="M227" s="375"/>
      <c r="N227" s="375"/>
      <c r="O227" s="375"/>
      <c r="P227" s="443"/>
      <c r="Q227" s="479">
        <f t="shared" si="33"/>
        <v>0</v>
      </c>
    </row>
    <row r="228" spans="1:17" ht="18">
      <c r="A228" s="789"/>
      <c r="B228" s="705">
        <v>46265</v>
      </c>
      <c r="C228" s="454">
        <f t="shared" si="30"/>
        <v>0</v>
      </c>
      <c r="D228" s="440">
        <f>'31'!C39</f>
        <v>0</v>
      </c>
      <c r="E228" s="375"/>
      <c r="F228" s="375"/>
      <c r="G228" s="443"/>
      <c r="H228" s="442">
        <f t="shared" si="32"/>
        <v>0</v>
      </c>
      <c r="I228" s="442">
        <f t="shared" si="29"/>
        <v>0</v>
      </c>
      <c r="J228" s="453">
        <f t="shared" si="31"/>
        <v>0</v>
      </c>
      <c r="K228" s="463"/>
      <c r="L228" s="375"/>
      <c r="M228" s="375"/>
      <c r="N228" s="375"/>
      <c r="O228" s="375"/>
      <c r="P228" s="443"/>
      <c r="Q228" s="479">
        <f t="shared" si="33"/>
        <v>0</v>
      </c>
    </row>
    <row r="229" spans="1:17" ht="15.75">
      <c r="A229" s="791"/>
      <c r="B229" s="766" t="s">
        <v>83</v>
      </c>
      <c r="C229" s="767"/>
      <c r="D229" s="781"/>
      <c r="E229" s="767"/>
      <c r="F229" s="767"/>
      <c r="G229" s="767"/>
      <c r="H229" s="495">
        <f>SUM(H198:H228)</f>
        <v>0</v>
      </c>
      <c r="I229" s="485"/>
      <c r="J229" s="486"/>
      <c r="K229" s="475">
        <f>SUM(K198:K228)</f>
        <v>0</v>
      </c>
      <c r="L229" s="487"/>
      <c r="M229" s="487">
        <f>SUM(M198:M228)</f>
        <v>0</v>
      </c>
      <c r="N229" s="474"/>
      <c r="O229" s="474"/>
      <c r="P229" s="487"/>
      <c r="Q229" s="481">
        <f t="shared" ref="Q229" si="34">(J229+K229)-M229</f>
        <v>0</v>
      </c>
    </row>
    <row r="230" spans="1:17" ht="18">
      <c r="A230" s="785" t="s">
        <v>84</v>
      </c>
      <c r="B230" s="705">
        <v>46235</v>
      </c>
      <c r="C230" s="490">
        <f>'1'!B40</f>
        <v>0</v>
      </c>
      <c r="D230" s="440">
        <f>'1'!C40</f>
        <v>0</v>
      </c>
      <c r="E230" s="451"/>
      <c r="F230" s="451"/>
      <c r="G230" s="467"/>
      <c r="H230" s="442">
        <f t="shared" ref="H230:H260" si="35">SUM(E230,F230)</f>
        <v>0</v>
      </c>
      <c r="I230" s="442">
        <f>C230+D230-H230</f>
        <v>0</v>
      </c>
      <c r="J230" s="458">
        <v>0</v>
      </c>
      <c r="K230" s="478"/>
      <c r="L230" s="451"/>
      <c r="M230" s="451"/>
      <c r="N230" s="451"/>
      <c r="O230" s="451"/>
      <c r="P230" s="467"/>
      <c r="Q230" s="479">
        <f t="shared" ref="Q230:Q260" si="36">SUM(J230+K230-L230-M230)</f>
        <v>0</v>
      </c>
    </row>
    <row r="231" spans="1:17" ht="18">
      <c r="A231" s="793"/>
      <c r="B231" s="705">
        <v>46236</v>
      </c>
      <c r="C231" s="454">
        <f t="shared" ref="C231:C260" si="37">I230</f>
        <v>0</v>
      </c>
      <c r="D231" s="440">
        <f>'2'!C40</f>
        <v>0</v>
      </c>
      <c r="E231" s="451"/>
      <c r="F231" s="451"/>
      <c r="G231" s="483"/>
      <c r="H231" s="442">
        <f t="shared" si="35"/>
        <v>0</v>
      </c>
      <c r="I231" s="442">
        <f t="shared" ref="I231:I260" si="38">C231+D231-H231</f>
        <v>0</v>
      </c>
      <c r="J231" s="453">
        <f>Q230</f>
        <v>0</v>
      </c>
      <c r="K231" s="478"/>
      <c r="L231" s="451"/>
      <c r="M231" s="451"/>
      <c r="N231" s="451"/>
      <c r="O231" s="451"/>
      <c r="P231" s="467"/>
      <c r="Q231" s="479">
        <f t="shared" si="36"/>
        <v>0</v>
      </c>
    </row>
    <row r="232" spans="1:17" ht="18">
      <c r="A232" s="793"/>
      <c r="B232" s="705">
        <v>46237</v>
      </c>
      <c r="C232" s="454">
        <f t="shared" si="37"/>
        <v>0</v>
      </c>
      <c r="D232" s="440">
        <f>'3'!C40</f>
        <v>0</v>
      </c>
      <c r="E232" s="451"/>
      <c r="F232" s="451"/>
      <c r="G232" s="483"/>
      <c r="H232" s="442">
        <f t="shared" si="35"/>
        <v>0</v>
      </c>
      <c r="I232" s="442">
        <f t="shared" si="38"/>
        <v>0</v>
      </c>
      <c r="J232" s="453">
        <f t="shared" ref="J232:J260" si="39">Q231</f>
        <v>0</v>
      </c>
      <c r="K232" s="478"/>
      <c r="L232" s="451"/>
      <c r="M232" s="451"/>
      <c r="N232" s="451"/>
      <c r="O232" s="451"/>
      <c r="P232" s="467"/>
      <c r="Q232" s="479">
        <f t="shared" si="36"/>
        <v>0</v>
      </c>
    </row>
    <row r="233" spans="1:17" ht="18">
      <c r="A233" s="793"/>
      <c r="B233" s="705">
        <v>46238</v>
      </c>
      <c r="C233" s="454">
        <f t="shared" si="37"/>
        <v>0</v>
      </c>
      <c r="D233" s="440">
        <f>'4'!C40</f>
        <v>0</v>
      </c>
      <c r="E233" s="451"/>
      <c r="F233" s="451"/>
      <c r="G233" s="483"/>
      <c r="H233" s="442">
        <f t="shared" si="35"/>
        <v>0</v>
      </c>
      <c r="I233" s="442">
        <f t="shared" si="38"/>
        <v>0</v>
      </c>
      <c r="J233" s="453">
        <f t="shared" si="39"/>
        <v>0</v>
      </c>
      <c r="K233" s="478"/>
      <c r="L233" s="451"/>
      <c r="M233" s="451"/>
      <c r="N233" s="451"/>
      <c r="O233" s="451"/>
      <c r="P233" s="467"/>
      <c r="Q233" s="479">
        <f t="shared" si="36"/>
        <v>0</v>
      </c>
    </row>
    <row r="234" spans="1:17" ht="18">
      <c r="A234" s="793"/>
      <c r="B234" s="705">
        <v>46239</v>
      </c>
      <c r="C234" s="454">
        <f t="shared" si="37"/>
        <v>0</v>
      </c>
      <c r="D234" s="440">
        <f>'5'!C41</f>
        <v>0</v>
      </c>
      <c r="E234" s="451"/>
      <c r="F234" s="451"/>
      <c r="G234" s="483"/>
      <c r="H234" s="442">
        <f t="shared" si="35"/>
        <v>0</v>
      </c>
      <c r="I234" s="442">
        <f t="shared" si="38"/>
        <v>0</v>
      </c>
      <c r="J234" s="453">
        <f t="shared" si="39"/>
        <v>0</v>
      </c>
      <c r="K234" s="478"/>
      <c r="L234" s="451"/>
      <c r="M234" s="451"/>
      <c r="N234" s="451"/>
      <c r="O234" s="451"/>
      <c r="P234" s="467"/>
      <c r="Q234" s="479">
        <f t="shared" si="36"/>
        <v>0</v>
      </c>
    </row>
    <row r="235" spans="1:17" ht="18">
      <c r="A235" s="793"/>
      <c r="B235" s="705">
        <v>46240</v>
      </c>
      <c r="C235" s="454">
        <f t="shared" si="37"/>
        <v>0</v>
      </c>
      <c r="D235" s="440">
        <f>'6'!C40</f>
        <v>0</v>
      </c>
      <c r="E235" s="451"/>
      <c r="F235" s="451"/>
      <c r="G235" s="483"/>
      <c r="H235" s="442">
        <f t="shared" si="35"/>
        <v>0</v>
      </c>
      <c r="I235" s="442">
        <f t="shared" si="38"/>
        <v>0</v>
      </c>
      <c r="J235" s="453">
        <f t="shared" si="39"/>
        <v>0</v>
      </c>
      <c r="K235" s="478"/>
      <c r="L235" s="451"/>
      <c r="M235" s="451"/>
      <c r="N235" s="451"/>
      <c r="O235" s="451"/>
      <c r="P235" s="467"/>
      <c r="Q235" s="479">
        <f t="shared" si="36"/>
        <v>0</v>
      </c>
    </row>
    <row r="236" spans="1:17" ht="18">
      <c r="A236" s="793"/>
      <c r="B236" s="705">
        <v>46241</v>
      </c>
      <c r="C236" s="454">
        <f t="shared" si="37"/>
        <v>0</v>
      </c>
      <c r="D236" s="440">
        <f>'7'!C41</f>
        <v>0</v>
      </c>
      <c r="E236" s="451"/>
      <c r="F236" s="451"/>
      <c r="G236" s="483"/>
      <c r="H236" s="442">
        <f t="shared" si="35"/>
        <v>0</v>
      </c>
      <c r="I236" s="442">
        <f t="shared" si="38"/>
        <v>0</v>
      </c>
      <c r="J236" s="453">
        <f t="shared" si="39"/>
        <v>0</v>
      </c>
      <c r="K236" s="478"/>
      <c r="L236" s="451"/>
      <c r="M236" s="451"/>
      <c r="N236" s="451"/>
      <c r="O236" s="451"/>
      <c r="P236" s="467"/>
      <c r="Q236" s="479">
        <f t="shared" si="36"/>
        <v>0</v>
      </c>
    </row>
    <row r="237" spans="1:17" ht="18">
      <c r="A237" s="793"/>
      <c r="B237" s="705">
        <v>46242</v>
      </c>
      <c r="C237" s="454">
        <f t="shared" si="37"/>
        <v>0</v>
      </c>
      <c r="D237" s="440">
        <f>'8'!C41</f>
        <v>0</v>
      </c>
      <c r="E237" s="451"/>
      <c r="F237" s="451"/>
      <c r="G237" s="483"/>
      <c r="H237" s="442">
        <f t="shared" si="35"/>
        <v>0</v>
      </c>
      <c r="I237" s="442">
        <f t="shared" si="38"/>
        <v>0</v>
      </c>
      <c r="J237" s="453">
        <f t="shared" si="39"/>
        <v>0</v>
      </c>
      <c r="K237" s="478"/>
      <c r="L237" s="451"/>
      <c r="M237" s="451"/>
      <c r="N237" s="451"/>
      <c r="O237" s="451"/>
      <c r="P237" s="467"/>
      <c r="Q237" s="479">
        <f t="shared" si="36"/>
        <v>0</v>
      </c>
    </row>
    <row r="238" spans="1:17" ht="18">
      <c r="A238" s="793"/>
      <c r="B238" s="705">
        <v>46243</v>
      </c>
      <c r="C238" s="454">
        <f t="shared" si="37"/>
        <v>0</v>
      </c>
      <c r="D238" s="440">
        <f>'9'!C41</f>
        <v>0</v>
      </c>
      <c r="E238" s="451"/>
      <c r="F238" s="451"/>
      <c r="G238" s="483"/>
      <c r="H238" s="442">
        <f t="shared" si="35"/>
        <v>0</v>
      </c>
      <c r="I238" s="442">
        <f t="shared" si="38"/>
        <v>0</v>
      </c>
      <c r="J238" s="453">
        <f t="shared" si="39"/>
        <v>0</v>
      </c>
      <c r="K238" s="478"/>
      <c r="L238" s="451"/>
      <c r="M238" s="451"/>
      <c r="N238" s="451"/>
      <c r="O238" s="451"/>
      <c r="P238" s="467"/>
      <c r="Q238" s="479">
        <f t="shared" si="36"/>
        <v>0</v>
      </c>
    </row>
    <row r="239" spans="1:17" ht="18">
      <c r="A239" s="793"/>
      <c r="B239" s="705">
        <v>46244</v>
      </c>
      <c r="C239" s="454">
        <f t="shared" si="37"/>
        <v>0</v>
      </c>
      <c r="D239" s="440">
        <f>'10'!C41</f>
        <v>0</v>
      </c>
      <c r="E239" s="451"/>
      <c r="F239" s="451"/>
      <c r="G239" s="483"/>
      <c r="H239" s="442">
        <f t="shared" si="35"/>
        <v>0</v>
      </c>
      <c r="I239" s="442">
        <f t="shared" si="38"/>
        <v>0</v>
      </c>
      <c r="J239" s="453">
        <f t="shared" si="39"/>
        <v>0</v>
      </c>
      <c r="K239" s="478"/>
      <c r="L239" s="451"/>
      <c r="M239" s="451"/>
      <c r="N239" s="451"/>
      <c r="O239" s="451"/>
      <c r="P239" s="467"/>
      <c r="Q239" s="479">
        <f t="shared" si="36"/>
        <v>0</v>
      </c>
    </row>
    <row r="240" spans="1:17" ht="18">
      <c r="A240" s="793"/>
      <c r="B240" s="705">
        <v>46245</v>
      </c>
      <c r="C240" s="454">
        <f t="shared" si="37"/>
        <v>0</v>
      </c>
      <c r="D240" s="440">
        <f>'11'!C41</f>
        <v>0</v>
      </c>
      <c r="E240" s="451"/>
      <c r="F240" s="451"/>
      <c r="G240" s="483"/>
      <c r="H240" s="442">
        <f t="shared" si="35"/>
        <v>0</v>
      </c>
      <c r="I240" s="442">
        <f t="shared" si="38"/>
        <v>0</v>
      </c>
      <c r="J240" s="453">
        <f t="shared" si="39"/>
        <v>0</v>
      </c>
      <c r="K240" s="478"/>
      <c r="L240" s="451"/>
      <c r="M240" s="451"/>
      <c r="N240" s="451"/>
      <c r="O240" s="451"/>
      <c r="P240" s="467"/>
      <c r="Q240" s="479">
        <f t="shared" si="36"/>
        <v>0</v>
      </c>
    </row>
    <row r="241" spans="1:17" ht="18">
      <c r="A241" s="793"/>
      <c r="B241" s="705">
        <v>46246</v>
      </c>
      <c r="C241" s="454">
        <f t="shared" si="37"/>
        <v>0</v>
      </c>
      <c r="D241" s="440">
        <f>'12'!C41</f>
        <v>0</v>
      </c>
      <c r="E241" s="451"/>
      <c r="F241" s="451"/>
      <c r="G241" s="483"/>
      <c r="H241" s="442">
        <f t="shared" si="35"/>
        <v>0</v>
      </c>
      <c r="I241" s="442">
        <f t="shared" si="38"/>
        <v>0</v>
      </c>
      <c r="J241" s="453">
        <f t="shared" si="39"/>
        <v>0</v>
      </c>
      <c r="K241" s="478"/>
      <c r="L241" s="451"/>
      <c r="M241" s="451"/>
      <c r="N241" s="451"/>
      <c r="O241" s="451"/>
      <c r="P241" s="467"/>
      <c r="Q241" s="479">
        <f t="shared" si="36"/>
        <v>0</v>
      </c>
    </row>
    <row r="242" spans="1:17" ht="18">
      <c r="A242" s="793"/>
      <c r="B242" s="705">
        <v>46247</v>
      </c>
      <c r="C242" s="454">
        <f t="shared" si="37"/>
        <v>0</v>
      </c>
      <c r="D242" s="440">
        <f>'13'!C41</f>
        <v>0</v>
      </c>
      <c r="E242" s="451"/>
      <c r="F242" s="451"/>
      <c r="G242" s="483"/>
      <c r="H242" s="442">
        <f t="shared" si="35"/>
        <v>0</v>
      </c>
      <c r="I242" s="442">
        <f t="shared" si="38"/>
        <v>0</v>
      </c>
      <c r="J242" s="453">
        <f t="shared" si="39"/>
        <v>0</v>
      </c>
      <c r="K242" s="478"/>
      <c r="L242" s="451"/>
      <c r="M242" s="451"/>
      <c r="N242" s="451"/>
      <c r="O242" s="451"/>
      <c r="P242" s="467"/>
      <c r="Q242" s="479">
        <f t="shared" si="36"/>
        <v>0</v>
      </c>
    </row>
    <row r="243" spans="1:17" ht="18">
      <c r="A243" s="793"/>
      <c r="B243" s="705">
        <v>46248</v>
      </c>
      <c r="C243" s="454">
        <f t="shared" si="37"/>
        <v>0</v>
      </c>
      <c r="D243" s="440">
        <f>'14'!C41</f>
        <v>0</v>
      </c>
      <c r="E243" s="451"/>
      <c r="F243" s="451"/>
      <c r="G243" s="483"/>
      <c r="H243" s="442">
        <f t="shared" si="35"/>
        <v>0</v>
      </c>
      <c r="I243" s="442">
        <f t="shared" si="38"/>
        <v>0</v>
      </c>
      <c r="J243" s="453">
        <f t="shared" si="39"/>
        <v>0</v>
      </c>
      <c r="K243" s="478"/>
      <c r="L243" s="451"/>
      <c r="M243" s="451"/>
      <c r="N243" s="451"/>
      <c r="O243" s="451"/>
      <c r="P243" s="467"/>
      <c r="Q243" s="479">
        <f t="shared" si="36"/>
        <v>0</v>
      </c>
    </row>
    <row r="244" spans="1:17" ht="18">
      <c r="A244" s="793"/>
      <c r="B244" s="705">
        <v>46249</v>
      </c>
      <c r="C244" s="454">
        <f t="shared" si="37"/>
        <v>0</v>
      </c>
      <c r="D244" s="440">
        <f>'15'!C41</f>
        <v>0</v>
      </c>
      <c r="E244" s="451"/>
      <c r="F244" s="451"/>
      <c r="G244" s="483"/>
      <c r="H244" s="442">
        <f t="shared" si="35"/>
        <v>0</v>
      </c>
      <c r="I244" s="442">
        <f t="shared" si="38"/>
        <v>0</v>
      </c>
      <c r="J244" s="453">
        <f t="shared" si="39"/>
        <v>0</v>
      </c>
      <c r="K244" s="478"/>
      <c r="L244" s="451"/>
      <c r="M244" s="451"/>
      <c r="N244" s="451"/>
      <c r="O244" s="451"/>
      <c r="P244" s="467"/>
      <c r="Q244" s="479">
        <f t="shared" si="36"/>
        <v>0</v>
      </c>
    </row>
    <row r="245" spans="1:17" ht="18">
      <c r="A245" s="793"/>
      <c r="B245" s="705">
        <v>46250</v>
      </c>
      <c r="C245" s="454">
        <f t="shared" si="37"/>
        <v>0</v>
      </c>
      <c r="D245" s="440">
        <f>'16'!C41</f>
        <v>0</v>
      </c>
      <c r="E245" s="451"/>
      <c r="F245" s="451"/>
      <c r="G245" s="483"/>
      <c r="H245" s="442">
        <f t="shared" si="35"/>
        <v>0</v>
      </c>
      <c r="I245" s="442">
        <f t="shared" si="38"/>
        <v>0</v>
      </c>
      <c r="J245" s="453">
        <f t="shared" si="39"/>
        <v>0</v>
      </c>
      <c r="K245" s="478"/>
      <c r="L245" s="451"/>
      <c r="M245" s="451"/>
      <c r="N245" s="451"/>
      <c r="O245" s="451"/>
      <c r="P245" s="467"/>
      <c r="Q245" s="479">
        <f t="shared" si="36"/>
        <v>0</v>
      </c>
    </row>
    <row r="246" spans="1:17" ht="18">
      <c r="A246" s="793"/>
      <c r="B246" s="705">
        <v>46251</v>
      </c>
      <c r="C246" s="454">
        <f t="shared" si="37"/>
        <v>0</v>
      </c>
      <c r="D246" s="440">
        <f>'17'!C41</f>
        <v>0</v>
      </c>
      <c r="E246" s="451"/>
      <c r="F246" s="451"/>
      <c r="G246" s="483"/>
      <c r="H246" s="442">
        <f t="shared" si="35"/>
        <v>0</v>
      </c>
      <c r="I246" s="442">
        <f t="shared" si="38"/>
        <v>0</v>
      </c>
      <c r="J246" s="453">
        <f t="shared" si="39"/>
        <v>0</v>
      </c>
      <c r="K246" s="478"/>
      <c r="L246" s="451"/>
      <c r="M246" s="451"/>
      <c r="N246" s="451"/>
      <c r="O246" s="451"/>
      <c r="P246" s="467"/>
      <c r="Q246" s="479">
        <f t="shared" si="36"/>
        <v>0</v>
      </c>
    </row>
    <row r="247" spans="1:17" ht="18">
      <c r="A247" s="793"/>
      <c r="B247" s="705">
        <v>46252</v>
      </c>
      <c r="C247" s="454">
        <f t="shared" si="37"/>
        <v>0</v>
      </c>
      <c r="D247" s="440">
        <f>'18'!C41</f>
        <v>0</v>
      </c>
      <c r="E247" s="451"/>
      <c r="F247" s="451"/>
      <c r="G247" s="483"/>
      <c r="H247" s="442">
        <f t="shared" si="35"/>
        <v>0</v>
      </c>
      <c r="I247" s="442">
        <f t="shared" si="38"/>
        <v>0</v>
      </c>
      <c r="J247" s="453">
        <f t="shared" si="39"/>
        <v>0</v>
      </c>
      <c r="K247" s="478"/>
      <c r="L247" s="451"/>
      <c r="M247" s="451"/>
      <c r="N247" s="451"/>
      <c r="O247" s="451"/>
      <c r="P247" s="467"/>
      <c r="Q247" s="479">
        <f t="shared" si="36"/>
        <v>0</v>
      </c>
    </row>
    <row r="248" spans="1:17" ht="18">
      <c r="A248" s="793"/>
      <c r="B248" s="705">
        <v>46253</v>
      </c>
      <c r="C248" s="454">
        <f t="shared" si="37"/>
        <v>0</v>
      </c>
      <c r="D248" s="440">
        <f>'19'!C41</f>
        <v>0</v>
      </c>
      <c r="E248" s="451"/>
      <c r="F248" s="451"/>
      <c r="G248" s="483"/>
      <c r="H248" s="442">
        <f t="shared" si="35"/>
        <v>0</v>
      </c>
      <c r="I248" s="442">
        <f t="shared" si="38"/>
        <v>0</v>
      </c>
      <c r="J248" s="453">
        <f t="shared" si="39"/>
        <v>0</v>
      </c>
      <c r="K248" s="478"/>
      <c r="L248" s="451"/>
      <c r="M248" s="451"/>
      <c r="N248" s="451"/>
      <c r="O248" s="451"/>
      <c r="P248" s="467"/>
      <c r="Q248" s="479">
        <f t="shared" si="36"/>
        <v>0</v>
      </c>
    </row>
    <row r="249" spans="1:17" ht="18">
      <c r="A249" s="793"/>
      <c r="B249" s="705">
        <v>46254</v>
      </c>
      <c r="C249" s="454">
        <f t="shared" si="37"/>
        <v>0</v>
      </c>
      <c r="D249" s="440">
        <f>'20'!C41</f>
        <v>0</v>
      </c>
      <c r="E249" s="451"/>
      <c r="F249" s="451"/>
      <c r="G249" s="483"/>
      <c r="H249" s="442">
        <f t="shared" si="35"/>
        <v>0</v>
      </c>
      <c r="I249" s="442">
        <f t="shared" si="38"/>
        <v>0</v>
      </c>
      <c r="J249" s="453">
        <f t="shared" si="39"/>
        <v>0</v>
      </c>
      <c r="K249" s="478"/>
      <c r="L249" s="451"/>
      <c r="M249" s="451"/>
      <c r="N249" s="451"/>
      <c r="O249" s="451"/>
      <c r="P249" s="467"/>
      <c r="Q249" s="479">
        <f t="shared" si="36"/>
        <v>0</v>
      </c>
    </row>
    <row r="250" spans="1:17" ht="18">
      <c r="A250" s="793"/>
      <c r="B250" s="705">
        <v>46255</v>
      </c>
      <c r="C250" s="454">
        <f t="shared" si="37"/>
        <v>0</v>
      </c>
      <c r="D250" s="440">
        <f>'21'!C41</f>
        <v>0</v>
      </c>
      <c r="E250" s="451"/>
      <c r="F250" s="451"/>
      <c r="G250" s="483"/>
      <c r="H250" s="442">
        <f t="shared" si="35"/>
        <v>0</v>
      </c>
      <c r="I250" s="442">
        <f t="shared" si="38"/>
        <v>0</v>
      </c>
      <c r="J250" s="453">
        <f t="shared" si="39"/>
        <v>0</v>
      </c>
      <c r="K250" s="478"/>
      <c r="L250" s="451"/>
      <c r="M250" s="451"/>
      <c r="N250" s="451"/>
      <c r="O250" s="451"/>
      <c r="P250" s="467"/>
      <c r="Q250" s="479">
        <f t="shared" si="36"/>
        <v>0</v>
      </c>
    </row>
    <row r="251" spans="1:17" ht="18">
      <c r="A251" s="793"/>
      <c r="B251" s="705">
        <v>46256</v>
      </c>
      <c r="C251" s="454">
        <f t="shared" si="37"/>
        <v>0</v>
      </c>
      <c r="D251" s="440">
        <f>'22'!C41</f>
        <v>0</v>
      </c>
      <c r="E251" s="451"/>
      <c r="F251" s="451"/>
      <c r="G251" s="483"/>
      <c r="H251" s="442">
        <f t="shared" si="35"/>
        <v>0</v>
      </c>
      <c r="I251" s="442">
        <f t="shared" si="38"/>
        <v>0</v>
      </c>
      <c r="J251" s="453">
        <f t="shared" si="39"/>
        <v>0</v>
      </c>
      <c r="K251" s="478"/>
      <c r="L251" s="451"/>
      <c r="M251" s="451"/>
      <c r="N251" s="451"/>
      <c r="O251" s="451"/>
      <c r="P251" s="467"/>
      <c r="Q251" s="479">
        <f t="shared" si="36"/>
        <v>0</v>
      </c>
    </row>
    <row r="252" spans="1:17" ht="18">
      <c r="A252" s="793"/>
      <c r="B252" s="705">
        <v>46257</v>
      </c>
      <c r="C252" s="454">
        <f t="shared" si="37"/>
        <v>0</v>
      </c>
      <c r="D252" s="440">
        <f>'23'!C41</f>
        <v>0</v>
      </c>
      <c r="E252" s="451"/>
      <c r="F252" s="451"/>
      <c r="G252" s="483"/>
      <c r="H252" s="442">
        <f t="shared" si="35"/>
        <v>0</v>
      </c>
      <c r="I252" s="442">
        <f t="shared" si="38"/>
        <v>0</v>
      </c>
      <c r="J252" s="453">
        <f t="shared" si="39"/>
        <v>0</v>
      </c>
      <c r="K252" s="478"/>
      <c r="L252" s="451"/>
      <c r="M252" s="451"/>
      <c r="N252" s="451"/>
      <c r="O252" s="451"/>
      <c r="P252" s="467"/>
      <c r="Q252" s="479">
        <f t="shared" si="36"/>
        <v>0</v>
      </c>
    </row>
    <row r="253" spans="1:17" ht="18">
      <c r="A253" s="793"/>
      <c r="B253" s="705">
        <v>46258</v>
      </c>
      <c r="C253" s="454">
        <f t="shared" si="37"/>
        <v>0</v>
      </c>
      <c r="D253" s="440">
        <f>'24'!C41</f>
        <v>0</v>
      </c>
      <c r="E253" s="451"/>
      <c r="F253" s="451"/>
      <c r="G253" s="483"/>
      <c r="H253" s="442">
        <f t="shared" si="35"/>
        <v>0</v>
      </c>
      <c r="I253" s="442">
        <f t="shared" si="38"/>
        <v>0</v>
      </c>
      <c r="J253" s="453">
        <f t="shared" si="39"/>
        <v>0</v>
      </c>
      <c r="K253" s="478"/>
      <c r="L253" s="451"/>
      <c r="M253" s="451"/>
      <c r="N253" s="451"/>
      <c r="O253" s="451"/>
      <c r="P253" s="467"/>
      <c r="Q253" s="479">
        <f t="shared" si="36"/>
        <v>0</v>
      </c>
    </row>
    <row r="254" spans="1:17" ht="18">
      <c r="A254" s="793"/>
      <c r="B254" s="705">
        <v>46259</v>
      </c>
      <c r="C254" s="454">
        <f t="shared" si="37"/>
        <v>0</v>
      </c>
      <c r="D254" s="440">
        <f>'25'!C41</f>
        <v>0</v>
      </c>
      <c r="E254" s="451"/>
      <c r="F254" s="451"/>
      <c r="G254" s="483"/>
      <c r="H254" s="442">
        <f t="shared" si="35"/>
        <v>0</v>
      </c>
      <c r="I254" s="442">
        <f t="shared" si="38"/>
        <v>0</v>
      </c>
      <c r="J254" s="453">
        <f t="shared" si="39"/>
        <v>0</v>
      </c>
      <c r="K254" s="478"/>
      <c r="L254" s="451"/>
      <c r="M254" s="451"/>
      <c r="N254" s="451"/>
      <c r="O254" s="451"/>
      <c r="P254" s="467"/>
      <c r="Q254" s="479">
        <f t="shared" si="36"/>
        <v>0</v>
      </c>
    </row>
    <row r="255" spans="1:17" ht="18">
      <c r="A255" s="793"/>
      <c r="B255" s="705">
        <v>46260</v>
      </c>
      <c r="C255" s="454">
        <f t="shared" si="37"/>
        <v>0</v>
      </c>
      <c r="D255" s="440">
        <f>'26'!C41</f>
        <v>0</v>
      </c>
      <c r="E255" s="451"/>
      <c r="F255" s="451"/>
      <c r="G255" s="483"/>
      <c r="H255" s="442">
        <f t="shared" si="35"/>
        <v>0</v>
      </c>
      <c r="I255" s="442">
        <f t="shared" si="38"/>
        <v>0</v>
      </c>
      <c r="J255" s="453">
        <f t="shared" si="39"/>
        <v>0</v>
      </c>
      <c r="K255" s="478"/>
      <c r="L255" s="451"/>
      <c r="M255" s="451"/>
      <c r="N255" s="451"/>
      <c r="O255" s="451"/>
      <c r="P255" s="467"/>
      <c r="Q255" s="479">
        <f t="shared" si="36"/>
        <v>0</v>
      </c>
    </row>
    <row r="256" spans="1:17" ht="18">
      <c r="A256" s="786"/>
      <c r="B256" s="705">
        <v>46261</v>
      </c>
      <c r="C256" s="454">
        <f t="shared" si="37"/>
        <v>0</v>
      </c>
      <c r="D256" s="440">
        <f>'27'!C41</f>
        <v>0</v>
      </c>
      <c r="E256" s="375"/>
      <c r="F256" s="375"/>
      <c r="G256" s="443"/>
      <c r="H256" s="442">
        <f t="shared" si="35"/>
        <v>0</v>
      </c>
      <c r="I256" s="442">
        <f t="shared" si="38"/>
        <v>0</v>
      </c>
      <c r="J256" s="453">
        <f t="shared" si="39"/>
        <v>0</v>
      </c>
      <c r="K256" s="463"/>
      <c r="L256" s="375"/>
      <c r="M256" s="375"/>
      <c r="N256" s="375"/>
      <c r="O256" s="375"/>
      <c r="P256" s="443"/>
      <c r="Q256" s="479">
        <f t="shared" si="36"/>
        <v>0</v>
      </c>
    </row>
    <row r="257" spans="1:17" ht="18">
      <c r="A257" s="786"/>
      <c r="B257" s="705">
        <v>46262</v>
      </c>
      <c r="C257" s="454">
        <f t="shared" si="37"/>
        <v>0</v>
      </c>
      <c r="D257" s="440">
        <f>'28'!C41</f>
        <v>0</v>
      </c>
      <c r="E257" s="375"/>
      <c r="F257" s="375"/>
      <c r="G257" s="443"/>
      <c r="H257" s="442">
        <f t="shared" si="35"/>
        <v>0</v>
      </c>
      <c r="I257" s="442">
        <f t="shared" si="38"/>
        <v>0</v>
      </c>
      <c r="J257" s="453">
        <f t="shared" si="39"/>
        <v>0</v>
      </c>
      <c r="K257" s="463"/>
      <c r="L257" s="375"/>
      <c r="M257" s="375"/>
      <c r="N257" s="375"/>
      <c r="O257" s="375"/>
      <c r="P257" s="443"/>
      <c r="Q257" s="479">
        <f t="shared" si="36"/>
        <v>0</v>
      </c>
    </row>
    <row r="258" spans="1:17" ht="18">
      <c r="A258" s="786"/>
      <c r="B258" s="705">
        <v>46263</v>
      </c>
      <c r="C258" s="454">
        <f t="shared" si="37"/>
        <v>0</v>
      </c>
      <c r="D258" s="440">
        <f>'29'!C41</f>
        <v>0</v>
      </c>
      <c r="E258" s="375"/>
      <c r="F258" s="375"/>
      <c r="G258" s="443"/>
      <c r="H258" s="442">
        <f t="shared" si="35"/>
        <v>0</v>
      </c>
      <c r="I258" s="442">
        <f t="shared" si="38"/>
        <v>0</v>
      </c>
      <c r="J258" s="453">
        <f t="shared" si="39"/>
        <v>0</v>
      </c>
      <c r="K258" s="463"/>
      <c r="L258" s="375"/>
      <c r="M258" s="375"/>
      <c r="N258" s="375"/>
      <c r="O258" s="375"/>
      <c r="P258" s="443"/>
      <c r="Q258" s="479">
        <f t="shared" si="36"/>
        <v>0</v>
      </c>
    </row>
    <row r="259" spans="1:17" ht="18">
      <c r="A259" s="786"/>
      <c r="B259" s="705">
        <v>46264</v>
      </c>
      <c r="C259" s="454">
        <f t="shared" si="37"/>
        <v>0</v>
      </c>
      <c r="D259" s="440">
        <f>'30'!C41</f>
        <v>0</v>
      </c>
      <c r="E259" s="375"/>
      <c r="F259" s="375"/>
      <c r="G259" s="443"/>
      <c r="H259" s="442">
        <f t="shared" si="35"/>
        <v>0</v>
      </c>
      <c r="I259" s="442">
        <f t="shared" si="38"/>
        <v>0</v>
      </c>
      <c r="J259" s="453">
        <f t="shared" si="39"/>
        <v>0</v>
      </c>
      <c r="K259" s="463"/>
      <c r="L259" s="375"/>
      <c r="M259" s="375"/>
      <c r="N259" s="375"/>
      <c r="O259" s="375"/>
      <c r="P259" s="443"/>
      <c r="Q259" s="479">
        <f t="shared" si="36"/>
        <v>0</v>
      </c>
    </row>
    <row r="260" spans="1:17" ht="18">
      <c r="A260" s="786"/>
      <c r="B260" s="705">
        <v>46265</v>
      </c>
      <c r="C260" s="454">
        <f t="shared" si="37"/>
        <v>0</v>
      </c>
      <c r="D260" s="440">
        <f>'31'!C40</f>
        <v>0</v>
      </c>
      <c r="E260" s="471"/>
      <c r="F260" s="471"/>
      <c r="G260" s="472"/>
      <c r="H260" s="442">
        <f t="shared" si="35"/>
        <v>0</v>
      </c>
      <c r="I260" s="442">
        <f t="shared" si="38"/>
        <v>0</v>
      </c>
      <c r="J260" s="453">
        <f t="shared" si="39"/>
        <v>0</v>
      </c>
      <c r="K260" s="470"/>
      <c r="L260" s="471"/>
      <c r="M260" s="471"/>
      <c r="N260" s="471"/>
      <c r="O260" s="471"/>
      <c r="P260" s="472"/>
      <c r="Q260" s="479">
        <f t="shared" si="36"/>
        <v>0</v>
      </c>
    </row>
    <row r="261" spans="1:17" ht="15.75">
      <c r="A261" s="787"/>
      <c r="B261" s="766" t="s">
        <v>85</v>
      </c>
      <c r="C261" s="767"/>
      <c r="D261" s="782"/>
      <c r="E261" s="767"/>
      <c r="F261" s="767"/>
      <c r="G261" s="767"/>
      <c r="H261" s="489">
        <f>SUM(H230:H260)</f>
        <v>0</v>
      </c>
      <c r="I261" s="497"/>
      <c r="J261" s="497"/>
      <c r="K261" s="473">
        <f>SUM(K230:K260)</f>
        <v>0</v>
      </c>
      <c r="L261" s="474"/>
      <c r="M261" s="474">
        <f>SUM(M230:M260)</f>
        <v>0</v>
      </c>
      <c r="N261" s="474"/>
      <c r="O261" s="474"/>
      <c r="P261" s="474"/>
      <c r="Q261" s="474">
        <f>SUM(Q230:Q260)</f>
        <v>0</v>
      </c>
    </row>
    <row r="262" spans="1:17" ht="18">
      <c r="A262" s="785" t="s">
        <v>86</v>
      </c>
      <c r="B262" s="705">
        <v>46235</v>
      </c>
      <c r="C262" s="490">
        <f>'1'!B42</f>
        <v>0</v>
      </c>
      <c r="D262" s="440">
        <f>'1'!C42</f>
        <v>0</v>
      </c>
      <c r="E262" s="451"/>
      <c r="F262" s="451"/>
      <c r="G262" s="467"/>
      <c r="H262" s="442">
        <f t="shared" ref="H262:H292" si="40">SUM(E262,F262)</f>
        <v>0</v>
      </c>
      <c r="I262" s="442">
        <f>C262+D262-H262</f>
        <v>0</v>
      </c>
      <c r="J262" s="458">
        <v>0</v>
      </c>
      <c r="K262" s="478"/>
      <c r="L262" s="451"/>
      <c r="M262" s="451"/>
      <c r="N262" s="451"/>
      <c r="O262" s="451"/>
      <c r="P262" s="467"/>
      <c r="Q262" s="479">
        <f t="shared" ref="Q262:Q292" si="41">SUM(J262+K262-L262-M262)</f>
        <v>0</v>
      </c>
    </row>
    <row r="263" spans="1:17" ht="18">
      <c r="A263" s="793"/>
      <c r="B263" s="705">
        <v>46236</v>
      </c>
      <c r="C263" s="454">
        <f t="shared" ref="C263:C292" si="42">I262</f>
        <v>0</v>
      </c>
      <c r="D263" s="440">
        <f>'2'!C42</f>
        <v>0</v>
      </c>
      <c r="E263" s="451"/>
      <c r="F263" s="451"/>
      <c r="G263" s="483"/>
      <c r="H263" s="442">
        <f t="shared" si="40"/>
        <v>0</v>
      </c>
      <c r="I263" s="442">
        <f t="shared" ref="I263:I292" si="43">C263+D263-H263</f>
        <v>0</v>
      </c>
      <c r="J263" s="453">
        <f>Q262</f>
        <v>0</v>
      </c>
      <c r="K263" s="478"/>
      <c r="L263" s="451"/>
      <c r="M263" s="451"/>
      <c r="N263" s="451"/>
      <c r="O263" s="451"/>
      <c r="P263" s="467"/>
      <c r="Q263" s="479">
        <f t="shared" si="41"/>
        <v>0</v>
      </c>
    </row>
    <row r="264" spans="1:17" ht="18">
      <c r="A264" s="793"/>
      <c r="B264" s="705">
        <v>46237</v>
      </c>
      <c r="C264" s="454">
        <f t="shared" si="42"/>
        <v>0</v>
      </c>
      <c r="D264" s="440">
        <f>'3'!C42</f>
        <v>0</v>
      </c>
      <c r="E264" s="451"/>
      <c r="F264" s="451"/>
      <c r="G264" s="483"/>
      <c r="H264" s="442">
        <f t="shared" si="40"/>
        <v>0</v>
      </c>
      <c r="I264" s="442">
        <f t="shared" si="43"/>
        <v>0</v>
      </c>
      <c r="J264" s="453">
        <f t="shared" ref="J264:J292" si="44">Q263</f>
        <v>0</v>
      </c>
      <c r="K264" s="478"/>
      <c r="L264" s="451"/>
      <c r="M264" s="451"/>
      <c r="N264" s="451"/>
      <c r="O264" s="451"/>
      <c r="P264" s="467"/>
      <c r="Q264" s="479">
        <f t="shared" si="41"/>
        <v>0</v>
      </c>
    </row>
    <row r="265" spans="1:17" ht="18">
      <c r="A265" s="793"/>
      <c r="B265" s="705">
        <v>46238</v>
      </c>
      <c r="C265" s="454">
        <f t="shared" si="42"/>
        <v>0</v>
      </c>
      <c r="D265" s="440">
        <f>'4'!C42</f>
        <v>0</v>
      </c>
      <c r="E265" s="451"/>
      <c r="F265" s="451"/>
      <c r="G265" s="483"/>
      <c r="H265" s="442">
        <f t="shared" si="40"/>
        <v>0</v>
      </c>
      <c r="I265" s="442">
        <f t="shared" si="43"/>
        <v>0</v>
      </c>
      <c r="J265" s="453">
        <f t="shared" si="44"/>
        <v>0</v>
      </c>
      <c r="K265" s="478"/>
      <c r="L265" s="451"/>
      <c r="M265" s="451"/>
      <c r="N265" s="451"/>
      <c r="O265" s="451"/>
      <c r="P265" s="467"/>
      <c r="Q265" s="479">
        <f t="shared" si="41"/>
        <v>0</v>
      </c>
    </row>
    <row r="266" spans="1:17" ht="18">
      <c r="A266" s="793"/>
      <c r="B266" s="705">
        <v>46239</v>
      </c>
      <c r="C266" s="454">
        <f t="shared" si="42"/>
        <v>0</v>
      </c>
      <c r="D266" s="440">
        <f>'5'!C43</f>
        <v>0</v>
      </c>
      <c r="E266" s="451"/>
      <c r="F266" s="451"/>
      <c r="G266" s="483"/>
      <c r="H266" s="442">
        <f t="shared" si="40"/>
        <v>0</v>
      </c>
      <c r="I266" s="442">
        <f t="shared" si="43"/>
        <v>0</v>
      </c>
      <c r="J266" s="453">
        <f t="shared" si="44"/>
        <v>0</v>
      </c>
      <c r="K266" s="478"/>
      <c r="L266" s="451"/>
      <c r="M266" s="451"/>
      <c r="N266" s="451"/>
      <c r="O266" s="451"/>
      <c r="P266" s="467"/>
      <c r="Q266" s="479">
        <f t="shared" si="41"/>
        <v>0</v>
      </c>
    </row>
    <row r="267" spans="1:17" ht="18">
      <c r="A267" s="793"/>
      <c r="B267" s="705">
        <v>46240</v>
      </c>
      <c r="C267" s="454">
        <f t="shared" si="42"/>
        <v>0</v>
      </c>
      <c r="D267" s="440">
        <f>'6'!C42</f>
        <v>0</v>
      </c>
      <c r="E267" s="451"/>
      <c r="F267" s="451"/>
      <c r="G267" s="483"/>
      <c r="H267" s="442">
        <f t="shared" si="40"/>
        <v>0</v>
      </c>
      <c r="I267" s="442">
        <f t="shared" si="43"/>
        <v>0</v>
      </c>
      <c r="J267" s="453">
        <f t="shared" si="44"/>
        <v>0</v>
      </c>
      <c r="K267" s="478"/>
      <c r="L267" s="451"/>
      <c r="M267" s="451"/>
      <c r="N267" s="451"/>
      <c r="O267" s="451"/>
      <c r="P267" s="467"/>
      <c r="Q267" s="479">
        <f t="shared" si="41"/>
        <v>0</v>
      </c>
    </row>
    <row r="268" spans="1:17" ht="18">
      <c r="A268" s="793"/>
      <c r="B268" s="705">
        <v>46241</v>
      </c>
      <c r="C268" s="454">
        <f t="shared" si="42"/>
        <v>0</v>
      </c>
      <c r="D268" s="440">
        <f>'7'!C43</f>
        <v>0</v>
      </c>
      <c r="E268" s="451"/>
      <c r="F268" s="451"/>
      <c r="G268" s="483"/>
      <c r="H268" s="442">
        <f t="shared" si="40"/>
        <v>0</v>
      </c>
      <c r="I268" s="442">
        <f t="shared" si="43"/>
        <v>0</v>
      </c>
      <c r="J268" s="453">
        <f t="shared" si="44"/>
        <v>0</v>
      </c>
      <c r="K268" s="478"/>
      <c r="L268" s="451"/>
      <c r="M268" s="451"/>
      <c r="N268" s="451"/>
      <c r="O268" s="451"/>
      <c r="P268" s="467"/>
      <c r="Q268" s="479">
        <f t="shared" si="41"/>
        <v>0</v>
      </c>
    </row>
    <row r="269" spans="1:17" ht="18">
      <c r="A269" s="793"/>
      <c r="B269" s="705">
        <v>46242</v>
      </c>
      <c r="C269" s="454">
        <f t="shared" si="42"/>
        <v>0</v>
      </c>
      <c r="D269" s="440">
        <f>'8'!C43</f>
        <v>0</v>
      </c>
      <c r="E269" s="451"/>
      <c r="F269" s="451"/>
      <c r="G269" s="483"/>
      <c r="H269" s="442">
        <f t="shared" si="40"/>
        <v>0</v>
      </c>
      <c r="I269" s="442">
        <f t="shared" si="43"/>
        <v>0</v>
      </c>
      <c r="J269" s="453">
        <f t="shared" si="44"/>
        <v>0</v>
      </c>
      <c r="K269" s="478"/>
      <c r="L269" s="451"/>
      <c r="M269" s="451"/>
      <c r="N269" s="451"/>
      <c r="O269" s="451"/>
      <c r="P269" s="467"/>
      <c r="Q269" s="479">
        <f t="shared" si="41"/>
        <v>0</v>
      </c>
    </row>
    <row r="270" spans="1:17" ht="18">
      <c r="A270" s="793"/>
      <c r="B270" s="705">
        <v>46243</v>
      </c>
      <c r="C270" s="454">
        <f t="shared" si="42"/>
        <v>0</v>
      </c>
      <c r="D270" s="440">
        <f>'9'!C43</f>
        <v>0</v>
      </c>
      <c r="E270" s="451"/>
      <c r="F270" s="451"/>
      <c r="G270" s="483"/>
      <c r="H270" s="442">
        <f t="shared" si="40"/>
        <v>0</v>
      </c>
      <c r="I270" s="442">
        <f t="shared" si="43"/>
        <v>0</v>
      </c>
      <c r="J270" s="453">
        <f t="shared" si="44"/>
        <v>0</v>
      </c>
      <c r="K270" s="478"/>
      <c r="L270" s="451"/>
      <c r="M270" s="451"/>
      <c r="N270" s="451"/>
      <c r="O270" s="451"/>
      <c r="P270" s="467"/>
      <c r="Q270" s="479">
        <f t="shared" si="41"/>
        <v>0</v>
      </c>
    </row>
    <row r="271" spans="1:17" ht="18">
      <c r="A271" s="793"/>
      <c r="B271" s="705">
        <v>46244</v>
      </c>
      <c r="C271" s="454">
        <f t="shared" si="42"/>
        <v>0</v>
      </c>
      <c r="D271" s="440">
        <f>'10'!C43</f>
        <v>0</v>
      </c>
      <c r="E271" s="451"/>
      <c r="F271" s="451"/>
      <c r="G271" s="483"/>
      <c r="H271" s="442">
        <f t="shared" si="40"/>
        <v>0</v>
      </c>
      <c r="I271" s="442">
        <f t="shared" si="43"/>
        <v>0</v>
      </c>
      <c r="J271" s="453">
        <f t="shared" si="44"/>
        <v>0</v>
      </c>
      <c r="K271" s="478"/>
      <c r="L271" s="451"/>
      <c r="M271" s="451"/>
      <c r="N271" s="451"/>
      <c r="O271" s="451"/>
      <c r="P271" s="467"/>
      <c r="Q271" s="479">
        <f t="shared" si="41"/>
        <v>0</v>
      </c>
    </row>
    <row r="272" spans="1:17" ht="18">
      <c r="A272" s="793"/>
      <c r="B272" s="705">
        <v>46245</v>
      </c>
      <c r="C272" s="454">
        <f t="shared" si="42"/>
        <v>0</v>
      </c>
      <c r="D272" s="440">
        <f>'11'!C43</f>
        <v>0</v>
      </c>
      <c r="E272" s="451"/>
      <c r="F272" s="451"/>
      <c r="G272" s="483"/>
      <c r="H272" s="442">
        <f t="shared" si="40"/>
        <v>0</v>
      </c>
      <c r="I272" s="442">
        <f t="shared" si="43"/>
        <v>0</v>
      </c>
      <c r="J272" s="453">
        <f t="shared" si="44"/>
        <v>0</v>
      </c>
      <c r="K272" s="478"/>
      <c r="L272" s="451"/>
      <c r="M272" s="451"/>
      <c r="N272" s="451"/>
      <c r="O272" s="451"/>
      <c r="P272" s="467"/>
      <c r="Q272" s="479">
        <f t="shared" si="41"/>
        <v>0</v>
      </c>
    </row>
    <row r="273" spans="1:17" ht="18">
      <c r="A273" s="793"/>
      <c r="B273" s="705">
        <v>46246</v>
      </c>
      <c r="C273" s="454">
        <f t="shared" si="42"/>
        <v>0</v>
      </c>
      <c r="D273" s="440">
        <f>'12'!C43</f>
        <v>0</v>
      </c>
      <c r="E273" s="451"/>
      <c r="F273" s="451"/>
      <c r="G273" s="483"/>
      <c r="H273" s="442">
        <f t="shared" si="40"/>
        <v>0</v>
      </c>
      <c r="I273" s="442">
        <f t="shared" si="43"/>
        <v>0</v>
      </c>
      <c r="J273" s="453">
        <f t="shared" si="44"/>
        <v>0</v>
      </c>
      <c r="K273" s="478"/>
      <c r="L273" s="451"/>
      <c r="M273" s="451"/>
      <c r="N273" s="451"/>
      <c r="O273" s="451"/>
      <c r="P273" s="467"/>
      <c r="Q273" s="479">
        <f t="shared" si="41"/>
        <v>0</v>
      </c>
    </row>
    <row r="274" spans="1:17" ht="18">
      <c r="A274" s="793"/>
      <c r="B274" s="705">
        <v>46247</v>
      </c>
      <c r="C274" s="454">
        <f t="shared" si="42"/>
        <v>0</v>
      </c>
      <c r="D274" s="440">
        <f>'13'!C43</f>
        <v>0</v>
      </c>
      <c r="E274" s="451"/>
      <c r="F274" s="451"/>
      <c r="G274" s="483"/>
      <c r="H274" s="442">
        <f t="shared" si="40"/>
        <v>0</v>
      </c>
      <c r="I274" s="442">
        <f t="shared" si="43"/>
        <v>0</v>
      </c>
      <c r="J274" s="453">
        <f t="shared" si="44"/>
        <v>0</v>
      </c>
      <c r="K274" s="478"/>
      <c r="L274" s="451"/>
      <c r="M274" s="451"/>
      <c r="N274" s="451"/>
      <c r="O274" s="451"/>
      <c r="P274" s="467"/>
      <c r="Q274" s="479">
        <f t="shared" si="41"/>
        <v>0</v>
      </c>
    </row>
    <row r="275" spans="1:17" ht="18">
      <c r="A275" s="793"/>
      <c r="B275" s="705">
        <v>46248</v>
      </c>
      <c r="C275" s="454">
        <f t="shared" si="42"/>
        <v>0</v>
      </c>
      <c r="D275" s="440">
        <f>'14'!C43</f>
        <v>0</v>
      </c>
      <c r="E275" s="451"/>
      <c r="F275" s="451"/>
      <c r="G275" s="483"/>
      <c r="H275" s="442">
        <f t="shared" si="40"/>
        <v>0</v>
      </c>
      <c r="I275" s="442">
        <f t="shared" si="43"/>
        <v>0</v>
      </c>
      <c r="J275" s="453">
        <f t="shared" si="44"/>
        <v>0</v>
      </c>
      <c r="K275" s="478"/>
      <c r="L275" s="451"/>
      <c r="M275" s="451"/>
      <c r="N275" s="451"/>
      <c r="O275" s="451"/>
      <c r="P275" s="467"/>
      <c r="Q275" s="479">
        <f t="shared" si="41"/>
        <v>0</v>
      </c>
    </row>
    <row r="276" spans="1:17" ht="18">
      <c r="A276" s="793"/>
      <c r="B276" s="705">
        <v>46249</v>
      </c>
      <c r="C276" s="454">
        <f t="shared" si="42"/>
        <v>0</v>
      </c>
      <c r="D276" s="440">
        <f>'15'!C43</f>
        <v>0</v>
      </c>
      <c r="E276" s="451"/>
      <c r="F276" s="451"/>
      <c r="G276" s="483"/>
      <c r="H276" s="442">
        <f t="shared" si="40"/>
        <v>0</v>
      </c>
      <c r="I276" s="442">
        <f t="shared" si="43"/>
        <v>0</v>
      </c>
      <c r="J276" s="453">
        <f t="shared" si="44"/>
        <v>0</v>
      </c>
      <c r="K276" s="478"/>
      <c r="L276" s="451"/>
      <c r="M276" s="451"/>
      <c r="N276" s="451"/>
      <c r="O276" s="451"/>
      <c r="P276" s="467"/>
      <c r="Q276" s="479">
        <f t="shared" si="41"/>
        <v>0</v>
      </c>
    </row>
    <row r="277" spans="1:17" ht="18">
      <c r="A277" s="793"/>
      <c r="B277" s="705">
        <v>46250</v>
      </c>
      <c r="C277" s="454">
        <f t="shared" si="42"/>
        <v>0</v>
      </c>
      <c r="D277" s="440">
        <f>'16'!C43</f>
        <v>0</v>
      </c>
      <c r="E277" s="451"/>
      <c r="F277" s="451"/>
      <c r="G277" s="483"/>
      <c r="H277" s="442">
        <f t="shared" si="40"/>
        <v>0</v>
      </c>
      <c r="I277" s="442">
        <f t="shared" si="43"/>
        <v>0</v>
      </c>
      <c r="J277" s="453">
        <f t="shared" si="44"/>
        <v>0</v>
      </c>
      <c r="K277" s="478"/>
      <c r="L277" s="451"/>
      <c r="M277" s="451"/>
      <c r="N277" s="451"/>
      <c r="O277" s="451"/>
      <c r="P277" s="467"/>
      <c r="Q277" s="479">
        <f t="shared" si="41"/>
        <v>0</v>
      </c>
    </row>
    <row r="278" spans="1:17" ht="18">
      <c r="A278" s="793"/>
      <c r="B278" s="705">
        <v>46251</v>
      </c>
      <c r="C278" s="454">
        <f t="shared" si="42"/>
        <v>0</v>
      </c>
      <c r="D278" s="440">
        <f>'17'!C43</f>
        <v>0</v>
      </c>
      <c r="E278" s="451"/>
      <c r="F278" s="451"/>
      <c r="G278" s="483"/>
      <c r="H278" s="442">
        <f t="shared" si="40"/>
        <v>0</v>
      </c>
      <c r="I278" s="442">
        <f t="shared" si="43"/>
        <v>0</v>
      </c>
      <c r="J278" s="453">
        <f t="shared" si="44"/>
        <v>0</v>
      </c>
      <c r="K278" s="478"/>
      <c r="L278" s="451"/>
      <c r="M278" s="451"/>
      <c r="N278" s="451"/>
      <c r="O278" s="451"/>
      <c r="P278" s="467"/>
      <c r="Q278" s="479">
        <f t="shared" si="41"/>
        <v>0</v>
      </c>
    </row>
    <row r="279" spans="1:17" ht="18">
      <c r="A279" s="793"/>
      <c r="B279" s="705">
        <v>46252</v>
      </c>
      <c r="C279" s="454">
        <f t="shared" si="42"/>
        <v>0</v>
      </c>
      <c r="D279" s="440">
        <f>'18'!C43</f>
        <v>0</v>
      </c>
      <c r="E279" s="451"/>
      <c r="F279" s="451"/>
      <c r="G279" s="483"/>
      <c r="H279" s="442">
        <f t="shared" si="40"/>
        <v>0</v>
      </c>
      <c r="I279" s="442">
        <f t="shared" si="43"/>
        <v>0</v>
      </c>
      <c r="J279" s="453">
        <f t="shared" si="44"/>
        <v>0</v>
      </c>
      <c r="K279" s="478"/>
      <c r="L279" s="451"/>
      <c r="M279" s="451"/>
      <c r="N279" s="451"/>
      <c r="O279" s="451"/>
      <c r="P279" s="467"/>
      <c r="Q279" s="479">
        <f t="shared" si="41"/>
        <v>0</v>
      </c>
    </row>
    <row r="280" spans="1:17" ht="18">
      <c r="A280" s="793"/>
      <c r="B280" s="705">
        <v>46253</v>
      </c>
      <c r="C280" s="454">
        <f t="shared" si="42"/>
        <v>0</v>
      </c>
      <c r="D280" s="440">
        <f>'19'!C43</f>
        <v>0</v>
      </c>
      <c r="E280" s="451"/>
      <c r="F280" s="451"/>
      <c r="G280" s="483"/>
      <c r="H280" s="442">
        <f t="shared" si="40"/>
        <v>0</v>
      </c>
      <c r="I280" s="442">
        <f t="shared" si="43"/>
        <v>0</v>
      </c>
      <c r="J280" s="453">
        <f t="shared" si="44"/>
        <v>0</v>
      </c>
      <c r="K280" s="478"/>
      <c r="L280" s="451"/>
      <c r="M280" s="451"/>
      <c r="N280" s="451"/>
      <c r="O280" s="451"/>
      <c r="P280" s="467"/>
      <c r="Q280" s="479">
        <f t="shared" si="41"/>
        <v>0</v>
      </c>
    </row>
    <row r="281" spans="1:17" ht="18">
      <c r="A281" s="793"/>
      <c r="B281" s="705">
        <v>46254</v>
      </c>
      <c r="C281" s="454">
        <f t="shared" si="42"/>
        <v>0</v>
      </c>
      <c r="D281" s="440">
        <f>'20'!C43</f>
        <v>0</v>
      </c>
      <c r="E281" s="451"/>
      <c r="F281" s="451"/>
      <c r="G281" s="483"/>
      <c r="H281" s="442">
        <f t="shared" si="40"/>
        <v>0</v>
      </c>
      <c r="I281" s="442">
        <f t="shared" si="43"/>
        <v>0</v>
      </c>
      <c r="J281" s="453">
        <f t="shared" si="44"/>
        <v>0</v>
      </c>
      <c r="K281" s="478"/>
      <c r="L281" s="451"/>
      <c r="M281" s="451"/>
      <c r="N281" s="451"/>
      <c r="O281" s="451"/>
      <c r="P281" s="467"/>
      <c r="Q281" s="479">
        <f t="shared" si="41"/>
        <v>0</v>
      </c>
    </row>
    <row r="282" spans="1:17" ht="18">
      <c r="A282" s="793"/>
      <c r="B282" s="705">
        <v>46255</v>
      </c>
      <c r="C282" s="454">
        <f t="shared" si="42"/>
        <v>0</v>
      </c>
      <c r="D282" s="440">
        <f>'21'!C43</f>
        <v>0</v>
      </c>
      <c r="E282" s="451"/>
      <c r="F282" s="451"/>
      <c r="G282" s="483"/>
      <c r="H282" s="442">
        <f t="shared" si="40"/>
        <v>0</v>
      </c>
      <c r="I282" s="442">
        <f t="shared" si="43"/>
        <v>0</v>
      </c>
      <c r="J282" s="453">
        <f t="shared" si="44"/>
        <v>0</v>
      </c>
      <c r="K282" s="478"/>
      <c r="L282" s="451"/>
      <c r="M282" s="451"/>
      <c r="N282" s="451"/>
      <c r="O282" s="451"/>
      <c r="P282" s="467"/>
      <c r="Q282" s="479">
        <f t="shared" si="41"/>
        <v>0</v>
      </c>
    </row>
    <row r="283" spans="1:17" ht="18">
      <c r="A283" s="793"/>
      <c r="B283" s="705">
        <v>46256</v>
      </c>
      <c r="C283" s="454">
        <f t="shared" si="42"/>
        <v>0</v>
      </c>
      <c r="D283" s="440">
        <f>'22'!C43</f>
        <v>0</v>
      </c>
      <c r="E283" s="451"/>
      <c r="F283" s="451"/>
      <c r="G283" s="483"/>
      <c r="H283" s="442">
        <f t="shared" si="40"/>
        <v>0</v>
      </c>
      <c r="I283" s="442">
        <f t="shared" si="43"/>
        <v>0</v>
      </c>
      <c r="J283" s="453">
        <f t="shared" si="44"/>
        <v>0</v>
      </c>
      <c r="K283" s="478"/>
      <c r="L283" s="451"/>
      <c r="M283" s="451"/>
      <c r="N283" s="451"/>
      <c r="O283" s="451"/>
      <c r="P283" s="467"/>
      <c r="Q283" s="479">
        <f t="shared" si="41"/>
        <v>0</v>
      </c>
    </row>
    <row r="284" spans="1:17" ht="18">
      <c r="A284" s="793"/>
      <c r="B284" s="705">
        <v>46257</v>
      </c>
      <c r="C284" s="454">
        <f t="shared" si="42"/>
        <v>0</v>
      </c>
      <c r="D284" s="440">
        <f>'23'!C43</f>
        <v>0</v>
      </c>
      <c r="E284" s="451"/>
      <c r="F284" s="451"/>
      <c r="G284" s="483"/>
      <c r="H284" s="442">
        <f t="shared" si="40"/>
        <v>0</v>
      </c>
      <c r="I284" s="442">
        <f t="shared" si="43"/>
        <v>0</v>
      </c>
      <c r="J284" s="453">
        <f t="shared" si="44"/>
        <v>0</v>
      </c>
      <c r="K284" s="478"/>
      <c r="L284" s="451"/>
      <c r="M284" s="451"/>
      <c r="N284" s="451"/>
      <c r="O284" s="451"/>
      <c r="P284" s="467"/>
      <c r="Q284" s="479">
        <f t="shared" si="41"/>
        <v>0</v>
      </c>
    </row>
    <row r="285" spans="1:17" ht="18">
      <c r="A285" s="793"/>
      <c r="B285" s="705">
        <v>46258</v>
      </c>
      <c r="C285" s="454">
        <f t="shared" si="42"/>
        <v>0</v>
      </c>
      <c r="D285" s="440">
        <f>'24'!C43</f>
        <v>0</v>
      </c>
      <c r="E285" s="451"/>
      <c r="F285" s="451"/>
      <c r="G285" s="483"/>
      <c r="H285" s="442">
        <f t="shared" si="40"/>
        <v>0</v>
      </c>
      <c r="I285" s="442">
        <f t="shared" si="43"/>
        <v>0</v>
      </c>
      <c r="J285" s="453">
        <f t="shared" si="44"/>
        <v>0</v>
      </c>
      <c r="K285" s="478"/>
      <c r="L285" s="451"/>
      <c r="M285" s="451"/>
      <c r="N285" s="451"/>
      <c r="O285" s="451"/>
      <c r="P285" s="467"/>
      <c r="Q285" s="479">
        <f t="shared" si="41"/>
        <v>0</v>
      </c>
    </row>
    <row r="286" spans="1:17" ht="18">
      <c r="A286" s="793"/>
      <c r="B286" s="705">
        <v>46259</v>
      </c>
      <c r="C286" s="454">
        <f t="shared" si="42"/>
        <v>0</v>
      </c>
      <c r="D286" s="440">
        <f>'25'!C43</f>
        <v>0</v>
      </c>
      <c r="E286" s="451"/>
      <c r="F286" s="451"/>
      <c r="G286" s="483"/>
      <c r="H286" s="442">
        <f t="shared" si="40"/>
        <v>0</v>
      </c>
      <c r="I286" s="442">
        <f t="shared" si="43"/>
        <v>0</v>
      </c>
      <c r="J286" s="453">
        <f t="shared" si="44"/>
        <v>0</v>
      </c>
      <c r="K286" s="478"/>
      <c r="L286" s="451"/>
      <c r="M286" s="451"/>
      <c r="N286" s="451"/>
      <c r="O286" s="451"/>
      <c r="P286" s="467"/>
      <c r="Q286" s="479">
        <f t="shared" si="41"/>
        <v>0</v>
      </c>
    </row>
    <row r="287" spans="1:17" ht="18.75" thickBot="1">
      <c r="A287" s="793"/>
      <c r="B287" s="705">
        <v>46260</v>
      </c>
      <c r="C287" s="454">
        <f t="shared" si="42"/>
        <v>0</v>
      </c>
      <c r="D287" s="440">
        <f>'26'!C43</f>
        <v>0</v>
      </c>
      <c r="E287" s="451"/>
      <c r="F287" s="451"/>
      <c r="G287" s="483"/>
      <c r="H287" s="442">
        <f t="shared" si="40"/>
        <v>0</v>
      </c>
      <c r="I287" s="442">
        <f t="shared" si="43"/>
        <v>0</v>
      </c>
      <c r="J287" s="453">
        <f t="shared" si="44"/>
        <v>0</v>
      </c>
      <c r="K287" s="478"/>
      <c r="L287" s="451"/>
      <c r="M287" s="451"/>
      <c r="N287" s="451"/>
      <c r="O287" s="451"/>
      <c r="P287" s="467"/>
      <c r="Q287" s="479">
        <f t="shared" si="41"/>
        <v>0</v>
      </c>
    </row>
    <row r="288" spans="1:17" ht="18.75" thickBot="1">
      <c r="A288" s="786"/>
      <c r="B288" s="705">
        <v>46261</v>
      </c>
      <c r="C288" s="454">
        <f t="shared" si="42"/>
        <v>0</v>
      </c>
      <c r="D288" s="440">
        <f>'27'!C43</f>
        <v>0</v>
      </c>
      <c r="E288" s="375"/>
      <c r="F288" s="375"/>
      <c r="G288" s="441"/>
      <c r="H288" s="442">
        <f t="shared" si="40"/>
        <v>0</v>
      </c>
      <c r="I288" s="442">
        <f t="shared" si="43"/>
        <v>0</v>
      </c>
      <c r="J288" s="453">
        <f t="shared" si="44"/>
        <v>0</v>
      </c>
      <c r="K288" s="463"/>
      <c r="L288" s="375"/>
      <c r="M288" s="375"/>
      <c r="N288" s="375"/>
      <c r="O288" s="375"/>
      <c r="P288" s="443"/>
      <c r="Q288" s="479">
        <f t="shared" si="41"/>
        <v>0</v>
      </c>
    </row>
    <row r="289" spans="1:17" ht="18.75" thickBot="1">
      <c r="A289" s="786"/>
      <c r="B289" s="705">
        <v>46262</v>
      </c>
      <c r="C289" s="454">
        <f t="shared" si="42"/>
        <v>0</v>
      </c>
      <c r="D289" s="440">
        <f>'28'!C43</f>
        <v>0</v>
      </c>
      <c r="E289" s="375"/>
      <c r="F289" s="375"/>
      <c r="G289" s="443"/>
      <c r="H289" s="442">
        <f t="shared" si="40"/>
        <v>0</v>
      </c>
      <c r="I289" s="442">
        <f t="shared" si="43"/>
        <v>0</v>
      </c>
      <c r="J289" s="453">
        <f t="shared" si="44"/>
        <v>0</v>
      </c>
      <c r="K289" s="463"/>
      <c r="L289" s="375"/>
      <c r="M289" s="375"/>
      <c r="N289" s="375"/>
      <c r="O289" s="375"/>
      <c r="P289" s="443"/>
      <c r="Q289" s="479">
        <f t="shared" si="41"/>
        <v>0</v>
      </c>
    </row>
    <row r="290" spans="1:17" ht="18">
      <c r="A290" s="786"/>
      <c r="B290" s="705">
        <v>46263</v>
      </c>
      <c r="C290" s="454">
        <f t="shared" si="42"/>
        <v>0</v>
      </c>
      <c r="D290" s="440">
        <f>'29'!C43</f>
        <v>0</v>
      </c>
      <c r="E290" s="375"/>
      <c r="F290" s="375"/>
      <c r="G290" s="443"/>
      <c r="H290" s="442">
        <f t="shared" si="40"/>
        <v>0</v>
      </c>
      <c r="I290" s="442">
        <f t="shared" si="43"/>
        <v>0</v>
      </c>
      <c r="J290" s="453">
        <f t="shared" si="44"/>
        <v>0</v>
      </c>
      <c r="K290" s="463"/>
      <c r="L290" s="375"/>
      <c r="M290" s="375"/>
      <c r="N290" s="375"/>
      <c r="O290" s="375"/>
      <c r="P290" s="443"/>
      <c r="Q290" s="479">
        <f t="shared" si="41"/>
        <v>0</v>
      </c>
    </row>
    <row r="291" spans="1:17" ht="18">
      <c r="A291" s="786"/>
      <c r="B291" s="705">
        <v>46264</v>
      </c>
      <c r="C291" s="454">
        <f t="shared" si="42"/>
        <v>0</v>
      </c>
      <c r="D291" s="440">
        <f>'30'!C43</f>
        <v>0</v>
      </c>
      <c r="E291" s="375"/>
      <c r="F291" s="375"/>
      <c r="G291" s="701"/>
      <c r="H291" s="442">
        <f t="shared" si="40"/>
        <v>0</v>
      </c>
      <c r="I291" s="442">
        <f t="shared" si="43"/>
        <v>0</v>
      </c>
      <c r="J291" s="453">
        <f t="shared" si="44"/>
        <v>0</v>
      </c>
      <c r="K291" s="463"/>
      <c r="L291" s="375"/>
      <c r="M291" s="375"/>
      <c r="N291" s="375"/>
      <c r="O291" s="375"/>
      <c r="P291" s="443"/>
      <c r="Q291" s="479">
        <f t="shared" si="41"/>
        <v>0</v>
      </c>
    </row>
    <row r="292" spans="1:17" ht="18">
      <c r="A292" s="786"/>
      <c r="B292" s="705">
        <v>46265</v>
      </c>
      <c r="C292" s="454">
        <f t="shared" si="42"/>
        <v>0</v>
      </c>
      <c r="D292" s="440">
        <f>'31'!C42</f>
        <v>0</v>
      </c>
      <c r="E292" s="471"/>
      <c r="F292" s="471"/>
      <c r="G292" s="472"/>
      <c r="H292" s="442">
        <f t="shared" si="40"/>
        <v>0</v>
      </c>
      <c r="I292" s="442">
        <f t="shared" si="43"/>
        <v>0</v>
      </c>
      <c r="J292" s="453">
        <f t="shared" si="44"/>
        <v>0</v>
      </c>
      <c r="K292" s="470"/>
      <c r="L292" s="471"/>
      <c r="M292" s="471"/>
      <c r="N292" s="471"/>
      <c r="O292" s="471"/>
      <c r="P292" s="472"/>
      <c r="Q292" s="479">
        <f t="shared" si="41"/>
        <v>0</v>
      </c>
    </row>
    <row r="293" spans="1:17" ht="15.75">
      <c r="A293" s="787"/>
      <c r="B293" s="766" t="s">
        <v>87</v>
      </c>
      <c r="C293" s="767"/>
      <c r="D293" s="782"/>
      <c r="E293" s="767"/>
      <c r="F293" s="767"/>
      <c r="G293" s="767"/>
      <c r="H293" s="489">
        <f>SUM(H262:H292)</f>
        <v>0</v>
      </c>
      <c r="I293" s="497"/>
      <c r="J293" s="497"/>
      <c r="K293" s="473">
        <f>SUM(K262:K292)</f>
        <v>0</v>
      </c>
      <c r="L293" s="474"/>
      <c r="M293" s="474">
        <f>SUM(M262:M292)</f>
        <v>0</v>
      </c>
      <c r="N293" s="474"/>
      <c r="O293" s="474"/>
      <c r="P293" s="474"/>
      <c r="Q293" s="474">
        <f>SUM(Q262:Q292)</f>
        <v>0</v>
      </c>
    </row>
    <row r="294" spans="1:17" ht="18">
      <c r="A294" s="785" t="s">
        <v>88</v>
      </c>
      <c r="B294" s="705">
        <v>46235</v>
      </c>
      <c r="C294" s="490">
        <f>'1'!B44</f>
        <v>0</v>
      </c>
      <c r="D294" s="440">
        <f>'1'!C44</f>
        <v>0</v>
      </c>
      <c r="E294" s="451"/>
      <c r="F294" s="451"/>
      <c r="G294" s="467"/>
      <c r="H294" s="442">
        <f t="shared" ref="H294:H324" si="45">SUM(E294,F294)</f>
        <v>0</v>
      </c>
      <c r="I294" s="442">
        <f>C294+D294-H294</f>
        <v>0</v>
      </c>
      <c r="J294" s="458">
        <v>0</v>
      </c>
      <c r="K294" s="478"/>
      <c r="L294" s="451"/>
      <c r="M294" s="451"/>
      <c r="N294" s="451"/>
      <c r="O294" s="451"/>
      <c r="P294" s="467"/>
      <c r="Q294" s="479">
        <f t="shared" ref="Q294:Q324" si="46">SUM(J294+K294-L294-M294)</f>
        <v>0</v>
      </c>
    </row>
    <row r="295" spans="1:17" ht="18">
      <c r="A295" s="793"/>
      <c r="B295" s="705">
        <v>46236</v>
      </c>
      <c r="C295" s="454">
        <f t="shared" ref="C295:C324" si="47">I294</f>
        <v>0</v>
      </c>
      <c r="D295" s="440">
        <f>'2'!C44</f>
        <v>0</v>
      </c>
      <c r="E295" s="451"/>
      <c r="F295" s="451"/>
      <c r="G295" s="483"/>
      <c r="H295" s="442">
        <f t="shared" si="45"/>
        <v>0</v>
      </c>
      <c r="I295" s="442">
        <f t="shared" ref="I295:I324" si="48">C295+D295-H295</f>
        <v>0</v>
      </c>
      <c r="J295" s="453">
        <f>Q294</f>
        <v>0</v>
      </c>
      <c r="K295" s="478"/>
      <c r="L295" s="451"/>
      <c r="M295" s="451"/>
      <c r="N295" s="451"/>
      <c r="O295" s="451"/>
      <c r="P295" s="467"/>
      <c r="Q295" s="479">
        <f t="shared" si="46"/>
        <v>0</v>
      </c>
    </row>
    <row r="296" spans="1:17" ht="18">
      <c r="A296" s="793"/>
      <c r="B296" s="705">
        <v>46237</v>
      </c>
      <c r="C296" s="454">
        <f t="shared" si="47"/>
        <v>0</v>
      </c>
      <c r="D296" s="440">
        <f>'3'!C44</f>
        <v>0</v>
      </c>
      <c r="E296" s="451"/>
      <c r="F296" s="451"/>
      <c r="G296" s="483"/>
      <c r="H296" s="442">
        <f t="shared" si="45"/>
        <v>0</v>
      </c>
      <c r="I296" s="442">
        <f t="shared" si="48"/>
        <v>0</v>
      </c>
      <c r="J296" s="453">
        <f t="shared" ref="J296:J324" si="49">Q295</f>
        <v>0</v>
      </c>
      <c r="K296" s="478"/>
      <c r="L296" s="451"/>
      <c r="M296" s="451"/>
      <c r="N296" s="451"/>
      <c r="O296" s="451"/>
      <c r="P296" s="467"/>
      <c r="Q296" s="479">
        <f t="shared" si="46"/>
        <v>0</v>
      </c>
    </row>
    <row r="297" spans="1:17" ht="18">
      <c r="A297" s="793"/>
      <c r="B297" s="705">
        <v>46238</v>
      </c>
      <c r="C297" s="454">
        <f t="shared" si="47"/>
        <v>0</v>
      </c>
      <c r="D297" s="440">
        <f>'4'!C44</f>
        <v>0</v>
      </c>
      <c r="E297" s="451"/>
      <c r="F297" s="451"/>
      <c r="G297" s="483"/>
      <c r="H297" s="442">
        <f t="shared" si="45"/>
        <v>0</v>
      </c>
      <c r="I297" s="442">
        <f t="shared" si="48"/>
        <v>0</v>
      </c>
      <c r="J297" s="453">
        <f t="shared" si="49"/>
        <v>0</v>
      </c>
      <c r="K297" s="478"/>
      <c r="L297" s="451"/>
      <c r="M297" s="451"/>
      <c r="N297" s="451"/>
      <c r="O297" s="451"/>
      <c r="P297" s="467"/>
      <c r="Q297" s="479">
        <f t="shared" si="46"/>
        <v>0</v>
      </c>
    </row>
    <row r="298" spans="1:17" ht="18">
      <c r="A298" s="793"/>
      <c r="B298" s="705">
        <v>46239</v>
      </c>
      <c r="C298" s="454">
        <f t="shared" si="47"/>
        <v>0</v>
      </c>
      <c r="D298" s="440">
        <f>'5'!C45</f>
        <v>0</v>
      </c>
      <c r="E298" s="451"/>
      <c r="F298" s="451"/>
      <c r="G298" s="483"/>
      <c r="H298" s="442">
        <f t="shared" si="45"/>
        <v>0</v>
      </c>
      <c r="I298" s="442">
        <f t="shared" si="48"/>
        <v>0</v>
      </c>
      <c r="J298" s="453">
        <f t="shared" si="49"/>
        <v>0</v>
      </c>
      <c r="K298" s="478"/>
      <c r="L298" s="451"/>
      <c r="M298" s="451"/>
      <c r="N298" s="451"/>
      <c r="O298" s="451"/>
      <c r="P298" s="467"/>
      <c r="Q298" s="479">
        <f t="shared" si="46"/>
        <v>0</v>
      </c>
    </row>
    <row r="299" spans="1:17" ht="18">
      <c r="A299" s="793"/>
      <c r="B299" s="705">
        <v>46240</v>
      </c>
      <c r="C299" s="454">
        <f t="shared" si="47"/>
        <v>0</v>
      </c>
      <c r="D299" s="440">
        <f>'6'!C44</f>
        <v>0</v>
      </c>
      <c r="E299" s="451"/>
      <c r="F299" s="451"/>
      <c r="G299" s="483"/>
      <c r="H299" s="442">
        <f t="shared" si="45"/>
        <v>0</v>
      </c>
      <c r="I299" s="442">
        <f t="shared" si="48"/>
        <v>0</v>
      </c>
      <c r="J299" s="453">
        <f t="shared" si="49"/>
        <v>0</v>
      </c>
      <c r="K299" s="478"/>
      <c r="L299" s="451"/>
      <c r="M299" s="451"/>
      <c r="N299" s="451"/>
      <c r="O299" s="451"/>
      <c r="P299" s="467"/>
      <c r="Q299" s="479">
        <f t="shared" si="46"/>
        <v>0</v>
      </c>
    </row>
    <row r="300" spans="1:17" ht="18">
      <c r="A300" s="793"/>
      <c r="B300" s="705">
        <v>46241</v>
      </c>
      <c r="C300" s="454">
        <f t="shared" si="47"/>
        <v>0</v>
      </c>
      <c r="D300" s="440">
        <f>'7'!C45</f>
        <v>0</v>
      </c>
      <c r="E300" s="451"/>
      <c r="F300" s="451"/>
      <c r="G300" s="483"/>
      <c r="H300" s="442">
        <f t="shared" si="45"/>
        <v>0</v>
      </c>
      <c r="I300" s="442">
        <f t="shared" si="48"/>
        <v>0</v>
      </c>
      <c r="J300" s="453">
        <f t="shared" si="49"/>
        <v>0</v>
      </c>
      <c r="K300" s="478"/>
      <c r="L300" s="451"/>
      <c r="M300" s="451"/>
      <c r="N300" s="451"/>
      <c r="O300" s="451"/>
      <c r="P300" s="467"/>
      <c r="Q300" s="479">
        <f t="shared" si="46"/>
        <v>0</v>
      </c>
    </row>
    <row r="301" spans="1:17" ht="18">
      <c r="A301" s="793"/>
      <c r="B301" s="705">
        <v>46242</v>
      </c>
      <c r="C301" s="454">
        <f t="shared" si="47"/>
        <v>0</v>
      </c>
      <c r="D301" s="440">
        <f>'8'!C45</f>
        <v>0</v>
      </c>
      <c r="E301" s="451"/>
      <c r="F301" s="451"/>
      <c r="G301" s="483"/>
      <c r="H301" s="442">
        <f t="shared" si="45"/>
        <v>0</v>
      </c>
      <c r="I301" s="442">
        <f t="shared" si="48"/>
        <v>0</v>
      </c>
      <c r="J301" s="453">
        <f t="shared" si="49"/>
        <v>0</v>
      </c>
      <c r="K301" s="478"/>
      <c r="L301" s="451"/>
      <c r="M301" s="451"/>
      <c r="N301" s="451"/>
      <c r="O301" s="451"/>
      <c r="P301" s="467"/>
      <c r="Q301" s="479">
        <f t="shared" si="46"/>
        <v>0</v>
      </c>
    </row>
    <row r="302" spans="1:17" ht="18">
      <c r="A302" s="793"/>
      <c r="B302" s="705">
        <v>46243</v>
      </c>
      <c r="C302" s="454">
        <f t="shared" si="47"/>
        <v>0</v>
      </c>
      <c r="D302" s="440">
        <f>'9'!C45</f>
        <v>0</v>
      </c>
      <c r="E302" s="451"/>
      <c r="F302" s="451"/>
      <c r="G302" s="483"/>
      <c r="H302" s="442">
        <f t="shared" si="45"/>
        <v>0</v>
      </c>
      <c r="I302" s="442">
        <f t="shared" si="48"/>
        <v>0</v>
      </c>
      <c r="J302" s="453">
        <f t="shared" si="49"/>
        <v>0</v>
      </c>
      <c r="K302" s="478"/>
      <c r="L302" s="451"/>
      <c r="M302" s="451"/>
      <c r="N302" s="451"/>
      <c r="O302" s="451"/>
      <c r="P302" s="467"/>
      <c r="Q302" s="479">
        <f t="shared" si="46"/>
        <v>0</v>
      </c>
    </row>
    <row r="303" spans="1:17" ht="18">
      <c r="A303" s="793"/>
      <c r="B303" s="705">
        <v>46244</v>
      </c>
      <c r="C303" s="454">
        <f t="shared" si="47"/>
        <v>0</v>
      </c>
      <c r="D303" s="440">
        <f>'10'!C45</f>
        <v>0</v>
      </c>
      <c r="E303" s="451"/>
      <c r="F303" s="451"/>
      <c r="G303" s="483"/>
      <c r="H303" s="442">
        <f t="shared" si="45"/>
        <v>0</v>
      </c>
      <c r="I303" s="442">
        <f t="shared" si="48"/>
        <v>0</v>
      </c>
      <c r="J303" s="453">
        <f t="shared" si="49"/>
        <v>0</v>
      </c>
      <c r="K303" s="478"/>
      <c r="L303" s="451"/>
      <c r="M303" s="451"/>
      <c r="N303" s="451"/>
      <c r="O303" s="451"/>
      <c r="P303" s="467"/>
      <c r="Q303" s="479">
        <f t="shared" si="46"/>
        <v>0</v>
      </c>
    </row>
    <row r="304" spans="1:17" ht="18">
      <c r="A304" s="793"/>
      <c r="B304" s="705">
        <v>46245</v>
      </c>
      <c r="C304" s="454">
        <f t="shared" si="47"/>
        <v>0</v>
      </c>
      <c r="D304" s="440">
        <f>'11'!C45</f>
        <v>0</v>
      </c>
      <c r="E304" s="451"/>
      <c r="F304" s="451"/>
      <c r="G304" s="483"/>
      <c r="H304" s="442">
        <f t="shared" si="45"/>
        <v>0</v>
      </c>
      <c r="I304" s="442">
        <f t="shared" si="48"/>
        <v>0</v>
      </c>
      <c r="J304" s="453">
        <f t="shared" si="49"/>
        <v>0</v>
      </c>
      <c r="K304" s="478"/>
      <c r="L304" s="451"/>
      <c r="M304" s="451"/>
      <c r="N304" s="451"/>
      <c r="O304" s="451"/>
      <c r="P304" s="467"/>
      <c r="Q304" s="479">
        <f t="shared" si="46"/>
        <v>0</v>
      </c>
    </row>
    <row r="305" spans="1:17" ht="18">
      <c r="A305" s="793"/>
      <c r="B305" s="705">
        <v>46246</v>
      </c>
      <c r="C305" s="454">
        <f t="shared" si="47"/>
        <v>0</v>
      </c>
      <c r="D305" s="440">
        <f>'12'!C45</f>
        <v>0</v>
      </c>
      <c r="E305" s="451"/>
      <c r="F305" s="451"/>
      <c r="G305" s="483"/>
      <c r="H305" s="442">
        <f t="shared" si="45"/>
        <v>0</v>
      </c>
      <c r="I305" s="442">
        <f t="shared" si="48"/>
        <v>0</v>
      </c>
      <c r="J305" s="453">
        <f t="shared" si="49"/>
        <v>0</v>
      </c>
      <c r="K305" s="478"/>
      <c r="L305" s="451"/>
      <c r="M305" s="451"/>
      <c r="N305" s="451"/>
      <c r="O305" s="451"/>
      <c r="P305" s="467"/>
      <c r="Q305" s="479">
        <f t="shared" si="46"/>
        <v>0</v>
      </c>
    </row>
    <row r="306" spans="1:17" ht="18">
      <c r="A306" s="793"/>
      <c r="B306" s="705">
        <v>46247</v>
      </c>
      <c r="C306" s="454">
        <f t="shared" si="47"/>
        <v>0</v>
      </c>
      <c r="D306" s="440">
        <f>'13'!C45</f>
        <v>0</v>
      </c>
      <c r="E306" s="451"/>
      <c r="F306" s="451"/>
      <c r="G306" s="483"/>
      <c r="H306" s="442">
        <f t="shared" si="45"/>
        <v>0</v>
      </c>
      <c r="I306" s="442">
        <f t="shared" si="48"/>
        <v>0</v>
      </c>
      <c r="J306" s="453">
        <f t="shared" si="49"/>
        <v>0</v>
      </c>
      <c r="K306" s="478"/>
      <c r="L306" s="451"/>
      <c r="M306" s="451"/>
      <c r="N306" s="451"/>
      <c r="O306" s="451"/>
      <c r="P306" s="467"/>
      <c r="Q306" s="479">
        <f t="shared" si="46"/>
        <v>0</v>
      </c>
    </row>
    <row r="307" spans="1:17" ht="18">
      <c r="A307" s="793"/>
      <c r="B307" s="705">
        <v>46248</v>
      </c>
      <c r="C307" s="454">
        <f t="shared" si="47"/>
        <v>0</v>
      </c>
      <c r="D307" s="440">
        <f>'14'!C45</f>
        <v>0</v>
      </c>
      <c r="E307" s="451"/>
      <c r="F307" s="451"/>
      <c r="G307" s="483"/>
      <c r="H307" s="442">
        <f t="shared" si="45"/>
        <v>0</v>
      </c>
      <c r="I307" s="442">
        <f t="shared" si="48"/>
        <v>0</v>
      </c>
      <c r="J307" s="453">
        <f t="shared" si="49"/>
        <v>0</v>
      </c>
      <c r="K307" s="478"/>
      <c r="L307" s="451"/>
      <c r="M307" s="451"/>
      <c r="N307" s="451"/>
      <c r="O307" s="451"/>
      <c r="P307" s="467"/>
      <c r="Q307" s="479">
        <f t="shared" si="46"/>
        <v>0</v>
      </c>
    </row>
    <row r="308" spans="1:17" ht="18">
      <c r="A308" s="793"/>
      <c r="B308" s="705">
        <v>46249</v>
      </c>
      <c r="C308" s="454">
        <f t="shared" si="47"/>
        <v>0</v>
      </c>
      <c r="D308" s="440">
        <f>'15'!C45</f>
        <v>0</v>
      </c>
      <c r="E308" s="451"/>
      <c r="F308" s="451"/>
      <c r="G308" s="483"/>
      <c r="H308" s="442">
        <f t="shared" si="45"/>
        <v>0</v>
      </c>
      <c r="I308" s="442">
        <f t="shared" si="48"/>
        <v>0</v>
      </c>
      <c r="J308" s="453">
        <f t="shared" si="49"/>
        <v>0</v>
      </c>
      <c r="K308" s="478"/>
      <c r="L308" s="451"/>
      <c r="M308" s="451"/>
      <c r="N308" s="451"/>
      <c r="O308" s="451"/>
      <c r="P308" s="467"/>
      <c r="Q308" s="479">
        <f t="shared" si="46"/>
        <v>0</v>
      </c>
    </row>
    <row r="309" spans="1:17" ht="18">
      <c r="A309" s="793"/>
      <c r="B309" s="705">
        <v>46250</v>
      </c>
      <c r="C309" s="454">
        <f t="shared" si="47"/>
        <v>0</v>
      </c>
      <c r="D309" s="440">
        <f>'16'!C45</f>
        <v>0</v>
      </c>
      <c r="E309" s="451"/>
      <c r="F309" s="451"/>
      <c r="G309" s="483"/>
      <c r="H309" s="442">
        <f t="shared" si="45"/>
        <v>0</v>
      </c>
      <c r="I309" s="442">
        <f t="shared" si="48"/>
        <v>0</v>
      </c>
      <c r="J309" s="453">
        <f t="shared" si="49"/>
        <v>0</v>
      </c>
      <c r="K309" s="478"/>
      <c r="L309" s="451"/>
      <c r="M309" s="451"/>
      <c r="N309" s="451"/>
      <c r="O309" s="451"/>
      <c r="P309" s="467"/>
      <c r="Q309" s="479">
        <f t="shared" si="46"/>
        <v>0</v>
      </c>
    </row>
    <row r="310" spans="1:17" ht="18">
      <c r="A310" s="793"/>
      <c r="B310" s="705">
        <v>46251</v>
      </c>
      <c r="C310" s="454">
        <f t="shared" si="47"/>
        <v>0</v>
      </c>
      <c r="D310" s="440">
        <f>'17'!C45</f>
        <v>0</v>
      </c>
      <c r="E310" s="451"/>
      <c r="F310" s="451"/>
      <c r="G310" s="483"/>
      <c r="H310" s="442">
        <f t="shared" si="45"/>
        <v>0</v>
      </c>
      <c r="I310" s="442">
        <f t="shared" si="48"/>
        <v>0</v>
      </c>
      <c r="J310" s="453">
        <f t="shared" si="49"/>
        <v>0</v>
      </c>
      <c r="K310" s="478"/>
      <c r="L310" s="451"/>
      <c r="M310" s="451"/>
      <c r="N310" s="451"/>
      <c r="O310" s="451"/>
      <c r="P310" s="467"/>
      <c r="Q310" s="479">
        <f t="shared" si="46"/>
        <v>0</v>
      </c>
    </row>
    <row r="311" spans="1:17" ht="18">
      <c r="A311" s="793"/>
      <c r="B311" s="705">
        <v>46252</v>
      </c>
      <c r="C311" s="454">
        <f t="shared" si="47"/>
        <v>0</v>
      </c>
      <c r="D311" s="440">
        <f>'18'!C45</f>
        <v>0</v>
      </c>
      <c r="E311" s="451"/>
      <c r="F311" s="451"/>
      <c r="G311" s="483"/>
      <c r="H311" s="442">
        <f t="shared" si="45"/>
        <v>0</v>
      </c>
      <c r="I311" s="442">
        <f t="shared" si="48"/>
        <v>0</v>
      </c>
      <c r="J311" s="453">
        <f t="shared" si="49"/>
        <v>0</v>
      </c>
      <c r="K311" s="478"/>
      <c r="L311" s="451"/>
      <c r="M311" s="451"/>
      <c r="N311" s="451"/>
      <c r="O311" s="451"/>
      <c r="P311" s="467"/>
      <c r="Q311" s="479">
        <f t="shared" si="46"/>
        <v>0</v>
      </c>
    </row>
    <row r="312" spans="1:17" ht="18">
      <c r="A312" s="793"/>
      <c r="B312" s="705">
        <v>46253</v>
      </c>
      <c r="C312" s="454">
        <f t="shared" si="47"/>
        <v>0</v>
      </c>
      <c r="D312" s="440">
        <f>'19'!C45</f>
        <v>0</v>
      </c>
      <c r="E312" s="451"/>
      <c r="F312" s="451"/>
      <c r="G312" s="483"/>
      <c r="H312" s="442">
        <f t="shared" si="45"/>
        <v>0</v>
      </c>
      <c r="I312" s="442">
        <f t="shared" si="48"/>
        <v>0</v>
      </c>
      <c r="J312" s="453">
        <f t="shared" si="49"/>
        <v>0</v>
      </c>
      <c r="K312" s="478"/>
      <c r="L312" s="451"/>
      <c r="M312" s="451"/>
      <c r="N312" s="451"/>
      <c r="O312" s="451"/>
      <c r="P312" s="467"/>
      <c r="Q312" s="479">
        <f t="shared" si="46"/>
        <v>0</v>
      </c>
    </row>
    <row r="313" spans="1:17" ht="18">
      <c r="A313" s="793"/>
      <c r="B313" s="705">
        <v>46254</v>
      </c>
      <c r="C313" s="454">
        <f t="shared" si="47"/>
        <v>0</v>
      </c>
      <c r="D313" s="440">
        <f>'20'!C45</f>
        <v>0</v>
      </c>
      <c r="E313" s="451"/>
      <c r="F313" s="451"/>
      <c r="G313" s="483"/>
      <c r="H313" s="442">
        <f t="shared" si="45"/>
        <v>0</v>
      </c>
      <c r="I313" s="442">
        <f t="shared" si="48"/>
        <v>0</v>
      </c>
      <c r="J313" s="453">
        <f t="shared" si="49"/>
        <v>0</v>
      </c>
      <c r="K313" s="478"/>
      <c r="L313" s="451"/>
      <c r="M313" s="451"/>
      <c r="N313" s="451"/>
      <c r="O313" s="451"/>
      <c r="P313" s="467"/>
      <c r="Q313" s="479">
        <f t="shared" si="46"/>
        <v>0</v>
      </c>
    </row>
    <row r="314" spans="1:17" ht="18">
      <c r="A314" s="793"/>
      <c r="B314" s="705">
        <v>46255</v>
      </c>
      <c r="C314" s="454">
        <f t="shared" si="47"/>
        <v>0</v>
      </c>
      <c r="D314" s="440">
        <f>'21'!C45</f>
        <v>0</v>
      </c>
      <c r="E314" s="451"/>
      <c r="F314" s="451"/>
      <c r="G314" s="483"/>
      <c r="H314" s="442">
        <f t="shared" si="45"/>
        <v>0</v>
      </c>
      <c r="I314" s="442">
        <f t="shared" si="48"/>
        <v>0</v>
      </c>
      <c r="J314" s="453">
        <f t="shared" si="49"/>
        <v>0</v>
      </c>
      <c r="K314" s="478"/>
      <c r="L314" s="451"/>
      <c r="M314" s="451"/>
      <c r="N314" s="451"/>
      <c r="O314" s="451"/>
      <c r="P314" s="467"/>
      <c r="Q314" s="479">
        <f t="shared" si="46"/>
        <v>0</v>
      </c>
    </row>
    <row r="315" spans="1:17" ht="18">
      <c r="A315" s="793"/>
      <c r="B315" s="705">
        <v>46256</v>
      </c>
      <c r="C315" s="454">
        <f t="shared" si="47"/>
        <v>0</v>
      </c>
      <c r="D315" s="440">
        <f>'22'!C45</f>
        <v>0</v>
      </c>
      <c r="E315" s="451"/>
      <c r="F315" s="451"/>
      <c r="G315" s="483"/>
      <c r="H315" s="442">
        <f t="shared" si="45"/>
        <v>0</v>
      </c>
      <c r="I315" s="442">
        <f t="shared" si="48"/>
        <v>0</v>
      </c>
      <c r="J315" s="453">
        <f t="shared" si="49"/>
        <v>0</v>
      </c>
      <c r="K315" s="478"/>
      <c r="L315" s="451"/>
      <c r="M315" s="451"/>
      <c r="N315" s="451"/>
      <c r="O315" s="451"/>
      <c r="P315" s="467"/>
      <c r="Q315" s="479">
        <f t="shared" si="46"/>
        <v>0</v>
      </c>
    </row>
    <row r="316" spans="1:17" ht="18">
      <c r="A316" s="793"/>
      <c r="B316" s="705">
        <v>46257</v>
      </c>
      <c r="C316" s="454">
        <f t="shared" si="47"/>
        <v>0</v>
      </c>
      <c r="D316" s="440">
        <f>'23'!C45</f>
        <v>0</v>
      </c>
      <c r="E316" s="451"/>
      <c r="F316" s="451"/>
      <c r="G316" s="483"/>
      <c r="H316" s="442">
        <f t="shared" si="45"/>
        <v>0</v>
      </c>
      <c r="I316" s="442">
        <f t="shared" si="48"/>
        <v>0</v>
      </c>
      <c r="J316" s="453">
        <f t="shared" si="49"/>
        <v>0</v>
      </c>
      <c r="K316" s="478"/>
      <c r="L316" s="451"/>
      <c r="M316" s="451"/>
      <c r="N316" s="451"/>
      <c r="O316" s="451"/>
      <c r="P316" s="467"/>
      <c r="Q316" s="479">
        <f t="shared" si="46"/>
        <v>0</v>
      </c>
    </row>
    <row r="317" spans="1:17" ht="18">
      <c r="A317" s="793"/>
      <c r="B317" s="705">
        <v>46258</v>
      </c>
      <c r="C317" s="454">
        <f t="shared" si="47"/>
        <v>0</v>
      </c>
      <c r="D317" s="440">
        <f>'24'!C45</f>
        <v>0</v>
      </c>
      <c r="E317" s="451"/>
      <c r="F317" s="451"/>
      <c r="G317" s="483"/>
      <c r="H317" s="442">
        <f t="shared" si="45"/>
        <v>0</v>
      </c>
      <c r="I317" s="442">
        <f t="shared" si="48"/>
        <v>0</v>
      </c>
      <c r="J317" s="453">
        <f t="shared" si="49"/>
        <v>0</v>
      </c>
      <c r="K317" s="478"/>
      <c r="L317" s="451"/>
      <c r="M317" s="451"/>
      <c r="N317" s="451"/>
      <c r="O317" s="451"/>
      <c r="P317" s="467"/>
      <c r="Q317" s="479">
        <f t="shared" si="46"/>
        <v>0</v>
      </c>
    </row>
    <row r="318" spans="1:17" ht="18">
      <c r="A318" s="793"/>
      <c r="B318" s="705">
        <v>46259</v>
      </c>
      <c r="C318" s="454">
        <f t="shared" si="47"/>
        <v>0</v>
      </c>
      <c r="D318" s="440">
        <f>'25'!C45</f>
        <v>0</v>
      </c>
      <c r="E318" s="451"/>
      <c r="F318" s="451"/>
      <c r="G318" s="483"/>
      <c r="H318" s="442">
        <f t="shared" si="45"/>
        <v>0</v>
      </c>
      <c r="I318" s="442">
        <f t="shared" si="48"/>
        <v>0</v>
      </c>
      <c r="J318" s="453">
        <f t="shared" si="49"/>
        <v>0</v>
      </c>
      <c r="K318" s="478"/>
      <c r="L318" s="451"/>
      <c r="M318" s="451"/>
      <c r="N318" s="451"/>
      <c r="O318" s="451"/>
      <c r="P318" s="467"/>
      <c r="Q318" s="479">
        <f t="shared" si="46"/>
        <v>0</v>
      </c>
    </row>
    <row r="319" spans="1:17" ht="18">
      <c r="A319" s="793"/>
      <c r="B319" s="705">
        <v>46260</v>
      </c>
      <c r="C319" s="454">
        <f t="shared" si="47"/>
        <v>0</v>
      </c>
      <c r="D319" s="440">
        <f>'26'!C45</f>
        <v>0</v>
      </c>
      <c r="E319" s="451"/>
      <c r="F319" s="451"/>
      <c r="G319" s="483"/>
      <c r="H319" s="442">
        <f t="shared" si="45"/>
        <v>0</v>
      </c>
      <c r="I319" s="442">
        <f t="shared" si="48"/>
        <v>0</v>
      </c>
      <c r="J319" s="453">
        <f t="shared" si="49"/>
        <v>0</v>
      </c>
      <c r="K319" s="478"/>
      <c r="L319" s="451"/>
      <c r="M319" s="451"/>
      <c r="N319" s="451"/>
      <c r="O319" s="451"/>
      <c r="P319" s="467"/>
      <c r="Q319" s="479">
        <f t="shared" si="46"/>
        <v>0</v>
      </c>
    </row>
    <row r="320" spans="1:17" ht="18">
      <c r="A320" s="786"/>
      <c r="B320" s="705">
        <v>46261</v>
      </c>
      <c r="C320" s="454">
        <f t="shared" si="47"/>
        <v>0</v>
      </c>
      <c r="D320" s="440">
        <f>'27'!C45</f>
        <v>0</v>
      </c>
      <c r="E320" s="375"/>
      <c r="F320" s="375"/>
      <c r="G320" s="443"/>
      <c r="H320" s="442">
        <f t="shared" si="45"/>
        <v>0</v>
      </c>
      <c r="I320" s="442">
        <f t="shared" si="48"/>
        <v>0</v>
      </c>
      <c r="J320" s="453">
        <f t="shared" si="49"/>
        <v>0</v>
      </c>
      <c r="K320" s="463"/>
      <c r="L320" s="375"/>
      <c r="M320" s="375"/>
      <c r="N320" s="375"/>
      <c r="O320" s="375"/>
      <c r="P320" s="443"/>
      <c r="Q320" s="479">
        <f t="shared" si="46"/>
        <v>0</v>
      </c>
    </row>
    <row r="321" spans="1:17" ht="18">
      <c r="A321" s="786"/>
      <c r="B321" s="705">
        <v>46262</v>
      </c>
      <c r="C321" s="454">
        <f t="shared" si="47"/>
        <v>0</v>
      </c>
      <c r="D321" s="440">
        <f>'28'!C45</f>
        <v>0</v>
      </c>
      <c r="E321" s="375"/>
      <c r="F321" s="375"/>
      <c r="G321" s="443"/>
      <c r="H321" s="442">
        <f t="shared" si="45"/>
        <v>0</v>
      </c>
      <c r="I321" s="442">
        <f t="shared" si="48"/>
        <v>0</v>
      </c>
      <c r="J321" s="453">
        <f t="shared" si="49"/>
        <v>0</v>
      </c>
      <c r="K321" s="463"/>
      <c r="L321" s="375"/>
      <c r="M321" s="375"/>
      <c r="N321" s="375"/>
      <c r="O321" s="375"/>
      <c r="P321" s="443"/>
      <c r="Q321" s="479">
        <f t="shared" si="46"/>
        <v>0</v>
      </c>
    </row>
    <row r="322" spans="1:17" ht="18">
      <c r="A322" s="786"/>
      <c r="B322" s="705">
        <v>46263</v>
      </c>
      <c r="C322" s="454">
        <f t="shared" si="47"/>
        <v>0</v>
      </c>
      <c r="D322" s="440">
        <f>'29'!C45</f>
        <v>0</v>
      </c>
      <c r="E322" s="375"/>
      <c r="F322" s="375"/>
      <c r="G322" s="443"/>
      <c r="H322" s="442">
        <f t="shared" si="45"/>
        <v>0</v>
      </c>
      <c r="I322" s="442">
        <f t="shared" si="48"/>
        <v>0</v>
      </c>
      <c r="J322" s="453">
        <f t="shared" si="49"/>
        <v>0</v>
      </c>
      <c r="K322" s="463"/>
      <c r="L322" s="375"/>
      <c r="M322" s="375"/>
      <c r="N322" s="375"/>
      <c r="O322" s="375"/>
      <c r="P322" s="443"/>
      <c r="Q322" s="479">
        <f t="shared" si="46"/>
        <v>0</v>
      </c>
    </row>
    <row r="323" spans="1:17" ht="18">
      <c r="A323" s="786"/>
      <c r="B323" s="705">
        <v>46264</v>
      </c>
      <c r="C323" s="454">
        <f t="shared" si="47"/>
        <v>0</v>
      </c>
      <c r="D323" s="440">
        <f>'30'!C45</f>
        <v>0</v>
      </c>
      <c r="E323" s="375"/>
      <c r="F323" s="375"/>
      <c r="G323" s="443"/>
      <c r="H323" s="442">
        <f t="shared" si="45"/>
        <v>0</v>
      </c>
      <c r="I323" s="442">
        <f t="shared" si="48"/>
        <v>0</v>
      </c>
      <c r="J323" s="453">
        <f t="shared" si="49"/>
        <v>0</v>
      </c>
      <c r="K323" s="463"/>
      <c r="L323" s="375"/>
      <c r="M323" s="375"/>
      <c r="N323" s="375"/>
      <c r="O323" s="375"/>
      <c r="P323" s="443"/>
      <c r="Q323" s="479">
        <f t="shared" si="46"/>
        <v>0</v>
      </c>
    </row>
    <row r="324" spans="1:17" ht="18">
      <c r="A324" s="786"/>
      <c r="B324" s="705">
        <v>46265</v>
      </c>
      <c r="C324" s="454">
        <f t="shared" si="47"/>
        <v>0</v>
      </c>
      <c r="D324" s="440">
        <f>'31'!C44</f>
        <v>0</v>
      </c>
      <c r="E324" s="471"/>
      <c r="F324" s="471"/>
      <c r="G324" s="472"/>
      <c r="H324" s="442">
        <f t="shared" si="45"/>
        <v>0</v>
      </c>
      <c r="I324" s="442">
        <f t="shared" si="48"/>
        <v>0</v>
      </c>
      <c r="J324" s="453">
        <f t="shared" si="49"/>
        <v>0</v>
      </c>
      <c r="K324" s="470"/>
      <c r="L324" s="471"/>
      <c r="M324" s="471"/>
      <c r="N324" s="471"/>
      <c r="O324" s="471"/>
      <c r="P324" s="472"/>
      <c r="Q324" s="479">
        <f t="shared" si="46"/>
        <v>0</v>
      </c>
    </row>
    <row r="325" spans="1:17" ht="15.75">
      <c r="A325" s="787"/>
      <c r="B325" s="766" t="s">
        <v>89</v>
      </c>
      <c r="C325" s="767"/>
      <c r="D325" s="782"/>
      <c r="E325" s="767"/>
      <c r="F325" s="767"/>
      <c r="G325" s="767"/>
      <c r="H325" s="489">
        <f>SUM(H294:H324)</f>
        <v>0</v>
      </c>
      <c r="I325" s="497"/>
      <c r="J325" s="497"/>
      <c r="K325" s="473">
        <f>SUM(K294:K324)</f>
        <v>0</v>
      </c>
      <c r="L325" s="474"/>
      <c r="M325" s="474">
        <f>SUM(M294:M324)</f>
        <v>0</v>
      </c>
      <c r="N325" s="474"/>
      <c r="O325" s="474"/>
      <c r="P325" s="474"/>
      <c r="Q325" s="474">
        <f>SUM(Q294:Q324)</f>
        <v>0</v>
      </c>
    </row>
    <row r="326" spans="1:17" ht="18">
      <c r="A326" s="785" t="s">
        <v>90</v>
      </c>
      <c r="B326" s="705">
        <v>46235</v>
      </c>
      <c r="C326" s="490">
        <f>'1'!B45</f>
        <v>0</v>
      </c>
      <c r="D326" s="440">
        <f>'1'!C45</f>
        <v>0</v>
      </c>
      <c r="E326" s="451"/>
      <c r="F326" s="451"/>
      <c r="G326" s="467"/>
      <c r="H326" s="442">
        <f t="shared" ref="H326:H356" si="50">SUM(E326,F326)</f>
        <v>0</v>
      </c>
      <c r="I326" s="442">
        <f>C326+D326-H326</f>
        <v>0</v>
      </c>
      <c r="J326" s="458">
        <v>0</v>
      </c>
      <c r="K326" s="478"/>
      <c r="L326" s="451"/>
      <c r="M326" s="451"/>
      <c r="N326" s="451"/>
      <c r="O326" s="451"/>
      <c r="P326" s="467"/>
      <c r="Q326" s="479">
        <f t="shared" ref="Q326:Q356" si="51">SUM(J326+K326-L326-M326)</f>
        <v>0</v>
      </c>
    </row>
    <row r="327" spans="1:17" ht="18">
      <c r="A327" s="793"/>
      <c r="B327" s="705">
        <v>46236</v>
      </c>
      <c r="C327" s="454">
        <f t="shared" ref="C327:C356" si="52">I326</f>
        <v>0</v>
      </c>
      <c r="D327" s="440">
        <f>'2'!C45</f>
        <v>0</v>
      </c>
      <c r="E327" s="451"/>
      <c r="F327" s="451"/>
      <c r="G327" s="483"/>
      <c r="H327" s="442">
        <f t="shared" si="50"/>
        <v>0</v>
      </c>
      <c r="I327" s="442">
        <f t="shared" ref="I327:I356" si="53">C327+D327-H327</f>
        <v>0</v>
      </c>
      <c r="J327" s="453">
        <f>Q326</f>
        <v>0</v>
      </c>
      <c r="K327" s="478"/>
      <c r="L327" s="451"/>
      <c r="M327" s="451"/>
      <c r="N327" s="451"/>
      <c r="O327" s="451"/>
      <c r="P327" s="467"/>
      <c r="Q327" s="479">
        <f t="shared" si="51"/>
        <v>0</v>
      </c>
    </row>
    <row r="328" spans="1:17" ht="18">
      <c r="A328" s="793"/>
      <c r="B328" s="705">
        <v>46237</v>
      </c>
      <c r="C328" s="454">
        <f t="shared" si="52"/>
        <v>0</v>
      </c>
      <c r="D328" s="440">
        <f>'3'!C45</f>
        <v>0</v>
      </c>
      <c r="E328" s="451"/>
      <c r="F328" s="451"/>
      <c r="G328" s="483"/>
      <c r="H328" s="442">
        <f t="shared" si="50"/>
        <v>0</v>
      </c>
      <c r="I328" s="442">
        <f t="shared" si="53"/>
        <v>0</v>
      </c>
      <c r="J328" s="453">
        <f t="shared" ref="J328:J356" si="54">Q327</f>
        <v>0</v>
      </c>
      <c r="K328" s="478"/>
      <c r="L328" s="451"/>
      <c r="M328" s="451"/>
      <c r="N328" s="451"/>
      <c r="O328" s="451"/>
      <c r="P328" s="467"/>
      <c r="Q328" s="479">
        <f t="shared" si="51"/>
        <v>0</v>
      </c>
    </row>
    <row r="329" spans="1:17" ht="18">
      <c r="A329" s="793"/>
      <c r="B329" s="705">
        <v>46238</v>
      </c>
      <c r="C329" s="454">
        <f t="shared" si="52"/>
        <v>0</v>
      </c>
      <c r="D329" s="440">
        <f>'4'!C45</f>
        <v>0</v>
      </c>
      <c r="E329" s="451"/>
      <c r="F329" s="451"/>
      <c r="G329" s="483"/>
      <c r="H329" s="442">
        <f t="shared" si="50"/>
        <v>0</v>
      </c>
      <c r="I329" s="442">
        <f t="shared" si="53"/>
        <v>0</v>
      </c>
      <c r="J329" s="453">
        <f t="shared" si="54"/>
        <v>0</v>
      </c>
      <c r="K329" s="478"/>
      <c r="L329" s="451"/>
      <c r="M329" s="451"/>
      <c r="N329" s="451"/>
      <c r="O329" s="451"/>
      <c r="P329" s="467"/>
      <c r="Q329" s="479">
        <f t="shared" si="51"/>
        <v>0</v>
      </c>
    </row>
    <row r="330" spans="1:17" ht="18">
      <c r="A330" s="793"/>
      <c r="B330" s="705">
        <v>46239</v>
      </c>
      <c r="C330" s="454">
        <f t="shared" si="52"/>
        <v>0</v>
      </c>
      <c r="D330" s="440">
        <f>'5'!C46</f>
        <v>0</v>
      </c>
      <c r="E330" s="451"/>
      <c r="F330" s="451"/>
      <c r="G330" s="483"/>
      <c r="H330" s="442">
        <f t="shared" si="50"/>
        <v>0</v>
      </c>
      <c r="I330" s="442">
        <f t="shared" si="53"/>
        <v>0</v>
      </c>
      <c r="J330" s="453">
        <f t="shared" si="54"/>
        <v>0</v>
      </c>
      <c r="K330" s="478"/>
      <c r="L330" s="451"/>
      <c r="M330" s="451"/>
      <c r="N330" s="451"/>
      <c r="O330" s="451"/>
      <c r="P330" s="467"/>
      <c r="Q330" s="479">
        <f t="shared" si="51"/>
        <v>0</v>
      </c>
    </row>
    <row r="331" spans="1:17" ht="18">
      <c r="A331" s="793"/>
      <c r="B331" s="705">
        <v>46240</v>
      </c>
      <c r="C331" s="454">
        <f t="shared" si="52"/>
        <v>0</v>
      </c>
      <c r="D331" s="440">
        <f>'6'!C45</f>
        <v>0</v>
      </c>
      <c r="E331" s="451"/>
      <c r="F331" s="451"/>
      <c r="G331" s="483"/>
      <c r="H331" s="442">
        <f t="shared" si="50"/>
        <v>0</v>
      </c>
      <c r="I331" s="442">
        <f t="shared" si="53"/>
        <v>0</v>
      </c>
      <c r="J331" s="453">
        <f t="shared" si="54"/>
        <v>0</v>
      </c>
      <c r="K331" s="478"/>
      <c r="L331" s="451"/>
      <c r="M331" s="451"/>
      <c r="N331" s="451"/>
      <c r="O331" s="451"/>
      <c r="P331" s="467"/>
      <c r="Q331" s="479">
        <f t="shared" si="51"/>
        <v>0</v>
      </c>
    </row>
    <row r="332" spans="1:17" ht="18">
      <c r="A332" s="793"/>
      <c r="B332" s="705">
        <v>46241</v>
      </c>
      <c r="C332" s="454">
        <f t="shared" si="52"/>
        <v>0</v>
      </c>
      <c r="D332" s="440">
        <f>'7'!C46</f>
        <v>0</v>
      </c>
      <c r="E332" s="451"/>
      <c r="F332" s="451"/>
      <c r="G332" s="483"/>
      <c r="H332" s="442">
        <f t="shared" si="50"/>
        <v>0</v>
      </c>
      <c r="I332" s="442">
        <f t="shared" si="53"/>
        <v>0</v>
      </c>
      <c r="J332" s="453">
        <f t="shared" si="54"/>
        <v>0</v>
      </c>
      <c r="K332" s="478"/>
      <c r="L332" s="451"/>
      <c r="M332" s="451"/>
      <c r="N332" s="451"/>
      <c r="O332" s="451"/>
      <c r="P332" s="467"/>
      <c r="Q332" s="479">
        <f t="shared" si="51"/>
        <v>0</v>
      </c>
    </row>
    <row r="333" spans="1:17" ht="18">
      <c r="A333" s="793"/>
      <c r="B333" s="705">
        <v>46242</v>
      </c>
      <c r="C333" s="454">
        <f t="shared" si="52"/>
        <v>0</v>
      </c>
      <c r="D333" s="440">
        <f>'8'!C46</f>
        <v>0</v>
      </c>
      <c r="E333" s="451"/>
      <c r="F333" s="451"/>
      <c r="G333" s="483"/>
      <c r="H333" s="442">
        <f t="shared" si="50"/>
        <v>0</v>
      </c>
      <c r="I333" s="442">
        <f t="shared" si="53"/>
        <v>0</v>
      </c>
      <c r="J333" s="453">
        <f t="shared" si="54"/>
        <v>0</v>
      </c>
      <c r="K333" s="478"/>
      <c r="L333" s="451"/>
      <c r="M333" s="451"/>
      <c r="N333" s="451"/>
      <c r="O333" s="451"/>
      <c r="P333" s="467"/>
      <c r="Q333" s="479">
        <f t="shared" si="51"/>
        <v>0</v>
      </c>
    </row>
    <row r="334" spans="1:17" ht="18">
      <c r="A334" s="793"/>
      <c r="B334" s="705">
        <v>46243</v>
      </c>
      <c r="C334" s="454">
        <f t="shared" si="52"/>
        <v>0</v>
      </c>
      <c r="D334" s="440">
        <f>'9'!C46</f>
        <v>0</v>
      </c>
      <c r="E334" s="451"/>
      <c r="F334" s="451"/>
      <c r="G334" s="483"/>
      <c r="H334" s="442">
        <f t="shared" si="50"/>
        <v>0</v>
      </c>
      <c r="I334" s="442">
        <f t="shared" si="53"/>
        <v>0</v>
      </c>
      <c r="J334" s="453">
        <f t="shared" si="54"/>
        <v>0</v>
      </c>
      <c r="K334" s="478"/>
      <c r="L334" s="451"/>
      <c r="M334" s="451"/>
      <c r="N334" s="451"/>
      <c r="O334" s="451"/>
      <c r="P334" s="467"/>
      <c r="Q334" s="479">
        <f t="shared" si="51"/>
        <v>0</v>
      </c>
    </row>
    <row r="335" spans="1:17" ht="18">
      <c r="A335" s="793"/>
      <c r="B335" s="705">
        <v>46244</v>
      </c>
      <c r="C335" s="454">
        <f t="shared" si="52"/>
        <v>0</v>
      </c>
      <c r="D335" s="440">
        <f>'10'!C46</f>
        <v>0</v>
      </c>
      <c r="E335" s="451"/>
      <c r="F335" s="451"/>
      <c r="G335" s="483"/>
      <c r="H335" s="442">
        <f t="shared" si="50"/>
        <v>0</v>
      </c>
      <c r="I335" s="442">
        <f t="shared" si="53"/>
        <v>0</v>
      </c>
      <c r="J335" s="453">
        <f t="shared" si="54"/>
        <v>0</v>
      </c>
      <c r="K335" s="478"/>
      <c r="L335" s="451"/>
      <c r="M335" s="451"/>
      <c r="N335" s="451"/>
      <c r="O335" s="451"/>
      <c r="P335" s="467"/>
      <c r="Q335" s="479">
        <f t="shared" si="51"/>
        <v>0</v>
      </c>
    </row>
    <row r="336" spans="1:17" ht="18">
      <c r="A336" s="793"/>
      <c r="B336" s="705">
        <v>46245</v>
      </c>
      <c r="C336" s="454">
        <f t="shared" si="52"/>
        <v>0</v>
      </c>
      <c r="D336" s="440">
        <f>'11'!C46</f>
        <v>0</v>
      </c>
      <c r="E336" s="451"/>
      <c r="F336" s="451"/>
      <c r="G336" s="483"/>
      <c r="H336" s="442">
        <f t="shared" si="50"/>
        <v>0</v>
      </c>
      <c r="I336" s="442">
        <f t="shared" si="53"/>
        <v>0</v>
      </c>
      <c r="J336" s="453">
        <f t="shared" si="54"/>
        <v>0</v>
      </c>
      <c r="K336" s="478"/>
      <c r="L336" s="451"/>
      <c r="M336" s="451"/>
      <c r="N336" s="451"/>
      <c r="O336" s="451"/>
      <c r="P336" s="467"/>
      <c r="Q336" s="479">
        <f t="shared" si="51"/>
        <v>0</v>
      </c>
    </row>
    <row r="337" spans="1:17" ht="18">
      <c r="A337" s="793"/>
      <c r="B337" s="705">
        <v>46246</v>
      </c>
      <c r="C337" s="454">
        <f t="shared" si="52"/>
        <v>0</v>
      </c>
      <c r="D337" s="440">
        <f>'12'!C46</f>
        <v>0</v>
      </c>
      <c r="E337" s="451"/>
      <c r="F337" s="451"/>
      <c r="G337" s="483"/>
      <c r="H337" s="442">
        <f t="shared" si="50"/>
        <v>0</v>
      </c>
      <c r="I337" s="442">
        <f t="shared" si="53"/>
        <v>0</v>
      </c>
      <c r="J337" s="453">
        <f t="shared" si="54"/>
        <v>0</v>
      </c>
      <c r="K337" s="478"/>
      <c r="L337" s="451"/>
      <c r="M337" s="451"/>
      <c r="N337" s="451"/>
      <c r="O337" s="451"/>
      <c r="P337" s="467"/>
      <c r="Q337" s="479">
        <f t="shared" si="51"/>
        <v>0</v>
      </c>
    </row>
    <row r="338" spans="1:17" ht="18">
      <c r="A338" s="793"/>
      <c r="B338" s="705">
        <v>46247</v>
      </c>
      <c r="C338" s="454">
        <f t="shared" si="52"/>
        <v>0</v>
      </c>
      <c r="D338" s="440">
        <f>'13'!C46</f>
        <v>0</v>
      </c>
      <c r="E338" s="451"/>
      <c r="F338" s="451"/>
      <c r="G338" s="483"/>
      <c r="H338" s="442">
        <f t="shared" si="50"/>
        <v>0</v>
      </c>
      <c r="I338" s="442">
        <f t="shared" si="53"/>
        <v>0</v>
      </c>
      <c r="J338" s="453">
        <f t="shared" si="54"/>
        <v>0</v>
      </c>
      <c r="K338" s="478"/>
      <c r="L338" s="451"/>
      <c r="M338" s="451"/>
      <c r="N338" s="451"/>
      <c r="O338" s="451"/>
      <c r="P338" s="467"/>
      <c r="Q338" s="479">
        <f t="shared" si="51"/>
        <v>0</v>
      </c>
    </row>
    <row r="339" spans="1:17" ht="18">
      <c r="A339" s="793"/>
      <c r="B339" s="705">
        <v>46248</v>
      </c>
      <c r="C339" s="454">
        <f t="shared" si="52"/>
        <v>0</v>
      </c>
      <c r="D339" s="440">
        <f>'14'!C46</f>
        <v>0</v>
      </c>
      <c r="E339" s="451"/>
      <c r="F339" s="451"/>
      <c r="G339" s="483"/>
      <c r="H339" s="442">
        <f t="shared" si="50"/>
        <v>0</v>
      </c>
      <c r="I339" s="442">
        <f t="shared" si="53"/>
        <v>0</v>
      </c>
      <c r="J339" s="453">
        <f t="shared" si="54"/>
        <v>0</v>
      </c>
      <c r="K339" s="478"/>
      <c r="L339" s="451"/>
      <c r="M339" s="451"/>
      <c r="N339" s="451"/>
      <c r="O339" s="451"/>
      <c r="P339" s="467"/>
      <c r="Q339" s="479">
        <f t="shared" si="51"/>
        <v>0</v>
      </c>
    </row>
    <row r="340" spans="1:17" ht="18">
      <c r="A340" s="793"/>
      <c r="B340" s="705">
        <v>46249</v>
      </c>
      <c r="C340" s="454">
        <f t="shared" si="52"/>
        <v>0</v>
      </c>
      <c r="D340" s="440">
        <f>'15'!C46</f>
        <v>0</v>
      </c>
      <c r="E340" s="451"/>
      <c r="F340" s="451"/>
      <c r="G340" s="483"/>
      <c r="H340" s="442">
        <f t="shared" si="50"/>
        <v>0</v>
      </c>
      <c r="I340" s="442">
        <f t="shared" si="53"/>
        <v>0</v>
      </c>
      <c r="J340" s="453">
        <f t="shared" si="54"/>
        <v>0</v>
      </c>
      <c r="K340" s="478"/>
      <c r="L340" s="451"/>
      <c r="M340" s="451"/>
      <c r="N340" s="451"/>
      <c r="O340" s="451"/>
      <c r="P340" s="467"/>
      <c r="Q340" s="479">
        <f t="shared" si="51"/>
        <v>0</v>
      </c>
    </row>
    <row r="341" spans="1:17" ht="18">
      <c r="A341" s="793"/>
      <c r="B341" s="705">
        <v>46250</v>
      </c>
      <c r="C341" s="454">
        <f t="shared" si="52"/>
        <v>0</v>
      </c>
      <c r="D341" s="440">
        <f>'16'!C46</f>
        <v>0</v>
      </c>
      <c r="E341" s="451"/>
      <c r="F341" s="451"/>
      <c r="G341" s="483"/>
      <c r="H341" s="442">
        <f t="shared" si="50"/>
        <v>0</v>
      </c>
      <c r="I341" s="442">
        <f t="shared" si="53"/>
        <v>0</v>
      </c>
      <c r="J341" s="453">
        <f t="shared" si="54"/>
        <v>0</v>
      </c>
      <c r="K341" s="478"/>
      <c r="L341" s="451"/>
      <c r="M341" s="451"/>
      <c r="N341" s="451"/>
      <c r="O341" s="451"/>
      <c r="P341" s="467"/>
      <c r="Q341" s="479">
        <f t="shared" si="51"/>
        <v>0</v>
      </c>
    </row>
    <row r="342" spans="1:17" ht="18">
      <c r="A342" s="793"/>
      <c r="B342" s="705">
        <v>46251</v>
      </c>
      <c r="C342" s="454">
        <f t="shared" si="52"/>
        <v>0</v>
      </c>
      <c r="D342" s="440">
        <f>'17'!C46</f>
        <v>0</v>
      </c>
      <c r="E342" s="451"/>
      <c r="F342" s="451"/>
      <c r="G342" s="483"/>
      <c r="H342" s="442">
        <f t="shared" si="50"/>
        <v>0</v>
      </c>
      <c r="I342" s="442">
        <f t="shared" si="53"/>
        <v>0</v>
      </c>
      <c r="J342" s="453">
        <f t="shared" si="54"/>
        <v>0</v>
      </c>
      <c r="K342" s="478"/>
      <c r="L342" s="451"/>
      <c r="M342" s="451"/>
      <c r="N342" s="451"/>
      <c r="O342" s="451"/>
      <c r="P342" s="467"/>
      <c r="Q342" s="479">
        <f t="shared" si="51"/>
        <v>0</v>
      </c>
    </row>
    <row r="343" spans="1:17" ht="18">
      <c r="A343" s="793"/>
      <c r="B343" s="705">
        <v>46252</v>
      </c>
      <c r="C343" s="454">
        <f t="shared" si="52"/>
        <v>0</v>
      </c>
      <c r="D343" s="440">
        <f>'18'!C46</f>
        <v>0</v>
      </c>
      <c r="E343" s="451"/>
      <c r="F343" s="451"/>
      <c r="G343" s="483"/>
      <c r="H343" s="442">
        <f t="shared" si="50"/>
        <v>0</v>
      </c>
      <c r="I343" s="442">
        <f t="shared" si="53"/>
        <v>0</v>
      </c>
      <c r="J343" s="453">
        <f t="shared" si="54"/>
        <v>0</v>
      </c>
      <c r="K343" s="478"/>
      <c r="L343" s="451"/>
      <c r="M343" s="451"/>
      <c r="N343" s="451"/>
      <c r="O343" s="451"/>
      <c r="P343" s="467"/>
      <c r="Q343" s="479">
        <f t="shared" si="51"/>
        <v>0</v>
      </c>
    </row>
    <row r="344" spans="1:17" ht="18">
      <c r="A344" s="793"/>
      <c r="B344" s="705">
        <v>46253</v>
      </c>
      <c r="C344" s="454">
        <f t="shared" si="52"/>
        <v>0</v>
      </c>
      <c r="D344" s="440">
        <f>'19'!C46</f>
        <v>0</v>
      </c>
      <c r="E344" s="451"/>
      <c r="F344" s="451"/>
      <c r="G344" s="483"/>
      <c r="H344" s="442">
        <f t="shared" si="50"/>
        <v>0</v>
      </c>
      <c r="I344" s="442">
        <f t="shared" si="53"/>
        <v>0</v>
      </c>
      <c r="J344" s="453">
        <f t="shared" si="54"/>
        <v>0</v>
      </c>
      <c r="K344" s="478"/>
      <c r="L344" s="451"/>
      <c r="M344" s="451"/>
      <c r="N344" s="451"/>
      <c r="O344" s="451"/>
      <c r="P344" s="467"/>
      <c r="Q344" s="479">
        <f t="shared" si="51"/>
        <v>0</v>
      </c>
    </row>
    <row r="345" spans="1:17" ht="18">
      <c r="A345" s="793"/>
      <c r="B345" s="705">
        <v>46254</v>
      </c>
      <c r="C345" s="454">
        <f t="shared" si="52"/>
        <v>0</v>
      </c>
      <c r="D345" s="440">
        <f>'20'!C46</f>
        <v>0</v>
      </c>
      <c r="E345" s="451"/>
      <c r="F345" s="451"/>
      <c r="G345" s="483"/>
      <c r="H345" s="442">
        <f t="shared" si="50"/>
        <v>0</v>
      </c>
      <c r="I345" s="442">
        <f t="shared" si="53"/>
        <v>0</v>
      </c>
      <c r="J345" s="453">
        <f t="shared" si="54"/>
        <v>0</v>
      </c>
      <c r="K345" s="478"/>
      <c r="L345" s="451"/>
      <c r="M345" s="451"/>
      <c r="N345" s="451"/>
      <c r="O345" s="451"/>
      <c r="P345" s="467"/>
      <c r="Q345" s="479">
        <f t="shared" si="51"/>
        <v>0</v>
      </c>
    </row>
    <row r="346" spans="1:17" ht="18">
      <c r="A346" s="793"/>
      <c r="B346" s="705">
        <v>46255</v>
      </c>
      <c r="C346" s="454">
        <f t="shared" si="52"/>
        <v>0</v>
      </c>
      <c r="D346" s="440">
        <f>'21'!C46</f>
        <v>0</v>
      </c>
      <c r="E346" s="451"/>
      <c r="F346" s="451"/>
      <c r="G346" s="483"/>
      <c r="H346" s="442">
        <f t="shared" si="50"/>
        <v>0</v>
      </c>
      <c r="I346" s="442">
        <f t="shared" si="53"/>
        <v>0</v>
      </c>
      <c r="J346" s="453">
        <f t="shared" si="54"/>
        <v>0</v>
      </c>
      <c r="K346" s="478"/>
      <c r="L346" s="451"/>
      <c r="M346" s="451"/>
      <c r="N346" s="451"/>
      <c r="O346" s="451"/>
      <c r="P346" s="467"/>
      <c r="Q346" s="479">
        <f t="shared" si="51"/>
        <v>0</v>
      </c>
    </row>
    <row r="347" spans="1:17" ht="18">
      <c r="A347" s="793"/>
      <c r="B347" s="705">
        <v>46256</v>
      </c>
      <c r="C347" s="454">
        <f t="shared" si="52"/>
        <v>0</v>
      </c>
      <c r="D347" s="440">
        <f>'22'!C46</f>
        <v>0</v>
      </c>
      <c r="E347" s="451"/>
      <c r="F347" s="451"/>
      <c r="G347" s="483"/>
      <c r="H347" s="442">
        <f t="shared" si="50"/>
        <v>0</v>
      </c>
      <c r="I347" s="442">
        <f t="shared" si="53"/>
        <v>0</v>
      </c>
      <c r="J347" s="453">
        <f t="shared" si="54"/>
        <v>0</v>
      </c>
      <c r="K347" s="478"/>
      <c r="L347" s="451"/>
      <c r="M347" s="451"/>
      <c r="N347" s="451"/>
      <c r="O347" s="451"/>
      <c r="P347" s="467"/>
      <c r="Q347" s="479">
        <f t="shared" si="51"/>
        <v>0</v>
      </c>
    </row>
    <row r="348" spans="1:17" ht="18">
      <c r="A348" s="793"/>
      <c r="B348" s="705">
        <v>46257</v>
      </c>
      <c r="C348" s="454">
        <f t="shared" si="52"/>
        <v>0</v>
      </c>
      <c r="D348" s="440">
        <f>'23'!C46</f>
        <v>0</v>
      </c>
      <c r="E348" s="451"/>
      <c r="F348" s="451"/>
      <c r="G348" s="483"/>
      <c r="H348" s="442">
        <f t="shared" si="50"/>
        <v>0</v>
      </c>
      <c r="I348" s="442">
        <f t="shared" si="53"/>
        <v>0</v>
      </c>
      <c r="J348" s="453">
        <f t="shared" si="54"/>
        <v>0</v>
      </c>
      <c r="K348" s="478"/>
      <c r="L348" s="451"/>
      <c r="M348" s="451"/>
      <c r="N348" s="451"/>
      <c r="O348" s="451"/>
      <c r="P348" s="467"/>
      <c r="Q348" s="479">
        <f t="shared" si="51"/>
        <v>0</v>
      </c>
    </row>
    <row r="349" spans="1:17" ht="18">
      <c r="A349" s="793"/>
      <c r="B349" s="705">
        <v>46258</v>
      </c>
      <c r="C349" s="454">
        <f t="shared" si="52"/>
        <v>0</v>
      </c>
      <c r="D349" s="440">
        <f>'24'!C46</f>
        <v>0</v>
      </c>
      <c r="E349" s="451"/>
      <c r="F349" s="451"/>
      <c r="G349" s="483"/>
      <c r="H349" s="442">
        <f t="shared" si="50"/>
        <v>0</v>
      </c>
      <c r="I349" s="442">
        <f t="shared" si="53"/>
        <v>0</v>
      </c>
      <c r="J349" s="453">
        <f t="shared" si="54"/>
        <v>0</v>
      </c>
      <c r="K349" s="478"/>
      <c r="L349" s="451"/>
      <c r="M349" s="451"/>
      <c r="N349" s="451"/>
      <c r="O349" s="451"/>
      <c r="P349" s="467"/>
      <c r="Q349" s="479">
        <f t="shared" si="51"/>
        <v>0</v>
      </c>
    </row>
    <row r="350" spans="1:17" ht="18">
      <c r="A350" s="793"/>
      <c r="B350" s="705">
        <v>46259</v>
      </c>
      <c r="C350" s="454">
        <f t="shared" si="52"/>
        <v>0</v>
      </c>
      <c r="D350" s="440">
        <f>'25'!C46</f>
        <v>0</v>
      </c>
      <c r="E350" s="451"/>
      <c r="F350" s="451"/>
      <c r="G350" s="483"/>
      <c r="H350" s="442">
        <f t="shared" si="50"/>
        <v>0</v>
      </c>
      <c r="I350" s="442">
        <f t="shared" si="53"/>
        <v>0</v>
      </c>
      <c r="J350" s="453">
        <f t="shared" si="54"/>
        <v>0</v>
      </c>
      <c r="K350" s="478"/>
      <c r="L350" s="451"/>
      <c r="M350" s="451"/>
      <c r="N350" s="451"/>
      <c r="O350" s="451"/>
      <c r="P350" s="467"/>
      <c r="Q350" s="479">
        <f t="shared" si="51"/>
        <v>0</v>
      </c>
    </row>
    <row r="351" spans="1:17" ht="18">
      <c r="A351" s="793"/>
      <c r="B351" s="705">
        <v>46260</v>
      </c>
      <c r="C351" s="454">
        <f t="shared" si="52"/>
        <v>0</v>
      </c>
      <c r="D351" s="440">
        <f>'26'!C46</f>
        <v>0</v>
      </c>
      <c r="E351" s="451"/>
      <c r="F351" s="451"/>
      <c r="G351" s="483"/>
      <c r="H351" s="442">
        <f t="shared" si="50"/>
        <v>0</v>
      </c>
      <c r="I351" s="442">
        <f t="shared" si="53"/>
        <v>0</v>
      </c>
      <c r="J351" s="453">
        <f t="shared" si="54"/>
        <v>0</v>
      </c>
      <c r="K351" s="478"/>
      <c r="L351" s="451"/>
      <c r="M351" s="451"/>
      <c r="N351" s="451"/>
      <c r="O351" s="451"/>
      <c r="P351" s="467"/>
      <c r="Q351" s="479">
        <f t="shared" si="51"/>
        <v>0</v>
      </c>
    </row>
    <row r="352" spans="1:17" ht="18">
      <c r="A352" s="786"/>
      <c r="B352" s="705">
        <v>46261</v>
      </c>
      <c r="C352" s="454">
        <f t="shared" si="52"/>
        <v>0</v>
      </c>
      <c r="D352" s="440">
        <f>'27'!C46</f>
        <v>0</v>
      </c>
      <c r="E352" s="375"/>
      <c r="F352" s="375"/>
      <c r="G352" s="443"/>
      <c r="H352" s="442">
        <f t="shared" si="50"/>
        <v>0</v>
      </c>
      <c r="I352" s="442">
        <f t="shared" si="53"/>
        <v>0</v>
      </c>
      <c r="J352" s="453">
        <f t="shared" si="54"/>
        <v>0</v>
      </c>
      <c r="K352" s="463"/>
      <c r="L352" s="375"/>
      <c r="M352" s="375"/>
      <c r="N352" s="375"/>
      <c r="O352" s="375"/>
      <c r="P352" s="443"/>
      <c r="Q352" s="479">
        <f t="shared" si="51"/>
        <v>0</v>
      </c>
    </row>
    <row r="353" spans="1:17" ht="18">
      <c r="A353" s="786"/>
      <c r="B353" s="705">
        <v>46262</v>
      </c>
      <c r="C353" s="454">
        <f t="shared" si="52"/>
        <v>0</v>
      </c>
      <c r="D353" s="440">
        <f>'28'!C46</f>
        <v>0</v>
      </c>
      <c r="E353" s="375"/>
      <c r="F353" s="375"/>
      <c r="G353" s="443"/>
      <c r="H353" s="442">
        <f t="shared" si="50"/>
        <v>0</v>
      </c>
      <c r="I353" s="442">
        <f t="shared" si="53"/>
        <v>0</v>
      </c>
      <c r="J353" s="453">
        <f t="shared" si="54"/>
        <v>0</v>
      </c>
      <c r="K353" s="463"/>
      <c r="L353" s="375"/>
      <c r="M353" s="375"/>
      <c r="N353" s="375"/>
      <c r="O353" s="375"/>
      <c r="P353" s="443"/>
      <c r="Q353" s="479">
        <f t="shared" si="51"/>
        <v>0</v>
      </c>
    </row>
    <row r="354" spans="1:17" ht="18">
      <c r="A354" s="786"/>
      <c r="B354" s="705">
        <v>46263</v>
      </c>
      <c r="C354" s="454">
        <f t="shared" si="52"/>
        <v>0</v>
      </c>
      <c r="D354" s="440">
        <f>'29'!C46</f>
        <v>0</v>
      </c>
      <c r="E354" s="375"/>
      <c r="F354" s="375"/>
      <c r="G354" s="661"/>
      <c r="H354" s="442">
        <f t="shared" si="50"/>
        <v>0</v>
      </c>
      <c r="I354" s="442">
        <f t="shared" si="53"/>
        <v>0</v>
      </c>
      <c r="J354" s="453">
        <f t="shared" si="54"/>
        <v>0</v>
      </c>
      <c r="K354" s="463"/>
      <c r="L354" s="375"/>
      <c r="M354" s="375"/>
      <c r="N354" s="375"/>
      <c r="O354" s="375"/>
      <c r="P354" s="443"/>
      <c r="Q354" s="479">
        <f t="shared" si="51"/>
        <v>0</v>
      </c>
    </row>
    <row r="355" spans="1:17" ht="18">
      <c r="A355" s="786"/>
      <c r="B355" s="705">
        <v>46264</v>
      </c>
      <c r="C355" s="454">
        <f t="shared" si="52"/>
        <v>0</v>
      </c>
      <c r="D355" s="440">
        <f>'30'!C46</f>
        <v>0</v>
      </c>
      <c r="E355" s="375"/>
      <c r="F355" s="375"/>
      <c r="G355" s="443"/>
      <c r="H355" s="442">
        <f t="shared" si="50"/>
        <v>0</v>
      </c>
      <c r="I355" s="442">
        <f t="shared" si="53"/>
        <v>0</v>
      </c>
      <c r="J355" s="453">
        <f t="shared" si="54"/>
        <v>0</v>
      </c>
      <c r="K355" s="463"/>
      <c r="L355" s="375"/>
      <c r="M355" s="375"/>
      <c r="N355" s="375"/>
      <c r="O355" s="375"/>
      <c r="P355" s="443"/>
      <c r="Q355" s="479">
        <f t="shared" si="51"/>
        <v>0</v>
      </c>
    </row>
    <row r="356" spans="1:17" ht="18">
      <c r="A356" s="786"/>
      <c r="B356" s="705">
        <v>46265</v>
      </c>
      <c r="C356" s="454">
        <f t="shared" si="52"/>
        <v>0</v>
      </c>
      <c r="D356" s="440">
        <f>'31'!C45</f>
        <v>0</v>
      </c>
      <c r="E356" s="471"/>
      <c r="F356" s="471"/>
      <c r="G356" s="472"/>
      <c r="H356" s="442">
        <f t="shared" si="50"/>
        <v>0</v>
      </c>
      <c r="I356" s="442">
        <f t="shared" si="53"/>
        <v>0</v>
      </c>
      <c r="J356" s="453">
        <f t="shared" si="54"/>
        <v>0</v>
      </c>
      <c r="K356" s="470"/>
      <c r="L356" s="471"/>
      <c r="M356" s="471"/>
      <c r="N356" s="471"/>
      <c r="O356" s="471"/>
      <c r="P356" s="472"/>
      <c r="Q356" s="479">
        <f t="shared" si="51"/>
        <v>0</v>
      </c>
    </row>
    <row r="357" spans="1:17" ht="15.75">
      <c r="A357" s="787"/>
      <c r="B357" s="766" t="s">
        <v>91</v>
      </c>
      <c r="C357" s="767"/>
      <c r="D357" s="782"/>
      <c r="E357" s="767"/>
      <c r="F357" s="767"/>
      <c r="G357" s="767"/>
      <c r="H357" s="489">
        <f>SUM(H326:H356)</f>
        <v>0</v>
      </c>
      <c r="I357" s="497"/>
      <c r="J357" s="497"/>
      <c r="K357" s="473">
        <f>SUM(K326:K356)</f>
        <v>0</v>
      </c>
      <c r="L357" s="474"/>
      <c r="M357" s="474">
        <f>SUM(M326:M356)</f>
        <v>0</v>
      </c>
      <c r="N357" s="474"/>
      <c r="O357" s="474"/>
      <c r="P357" s="474"/>
      <c r="Q357" s="474">
        <f>SUM(Q326:Q356)</f>
        <v>0</v>
      </c>
    </row>
    <row r="358" spans="1:17" ht="18">
      <c r="A358" s="785" t="s">
        <v>92</v>
      </c>
      <c r="B358" s="705">
        <v>46235</v>
      </c>
      <c r="C358" s="490">
        <f>'1'!B46</f>
        <v>0</v>
      </c>
      <c r="D358" s="440">
        <f>'1'!C46</f>
        <v>0</v>
      </c>
      <c r="E358" s="451"/>
      <c r="F358" s="451"/>
      <c r="G358" s="467"/>
      <c r="H358" s="442">
        <f t="shared" ref="H358:H388" si="55">SUM(E358,F358)</f>
        <v>0</v>
      </c>
      <c r="I358" s="442">
        <f>C358+D358-H358</f>
        <v>0</v>
      </c>
      <c r="J358" s="458">
        <v>0</v>
      </c>
      <c r="K358" s="478"/>
      <c r="L358" s="451"/>
      <c r="M358" s="451"/>
      <c r="N358" s="451"/>
      <c r="O358" s="451"/>
      <c r="P358" s="467"/>
      <c r="Q358" s="479">
        <f t="shared" ref="Q358:Q388" si="56">SUM(J358+K358-L358-M358)</f>
        <v>0</v>
      </c>
    </row>
    <row r="359" spans="1:17" ht="18">
      <c r="A359" s="793"/>
      <c r="B359" s="705">
        <v>46236</v>
      </c>
      <c r="C359" s="454">
        <f t="shared" ref="C359:C388" si="57">I358</f>
        <v>0</v>
      </c>
      <c r="D359" s="440">
        <f>'2'!C46</f>
        <v>0</v>
      </c>
      <c r="E359" s="451"/>
      <c r="F359" s="451"/>
      <c r="G359" s="483"/>
      <c r="H359" s="442">
        <f t="shared" si="55"/>
        <v>0</v>
      </c>
      <c r="I359" s="442">
        <f t="shared" ref="I359:I388" si="58">C359+D359-H359</f>
        <v>0</v>
      </c>
      <c r="J359" s="453">
        <f>Q358</f>
        <v>0</v>
      </c>
      <c r="K359" s="478"/>
      <c r="L359" s="451"/>
      <c r="M359" s="451"/>
      <c r="N359" s="451"/>
      <c r="O359" s="451"/>
      <c r="P359" s="467"/>
      <c r="Q359" s="479">
        <f t="shared" si="56"/>
        <v>0</v>
      </c>
    </row>
    <row r="360" spans="1:17" ht="18">
      <c r="A360" s="793"/>
      <c r="B360" s="705">
        <v>46237</v>
      </c>
      <c r="C360" s="454">
        <f t="shared" si="57"/>
        <v>0</v>
      </c>
      <c r="D360" s="440">
        <f>'3'!C46</f>
        <v>0</v>
      </c>
      <c r="E360" s="451"/>
      <c r="F360" s="451"/>
      <c r="G360" s="483"/>
      <c r="H360" s="442">
        <f t="shared" si="55"/>
        <v>0</v>
      </c>
      <c r="I360" s="442">
        <f t="shared" si="58"/>
        <v>0</v>
      </c>
      <c r="J360" s="453">
        <f t="shared" ref="J360:J388" si="59">Q359</f>
        <v>0</v>
      </c>
      <c r="K360" s="478"/>
      <c r="L360" s="451"/>
      <c r="M360" s="451"/>
      <c r="N360" s="451"/>
      <c r="O360" s="451"/>
      <c r="P360" s="467"/>
      <c r="Q360" s="479">
        <f t="shared" si="56"/>
        <v>0</v>
      </c>
    </row>
    <row r="361" spans="1:17" ht="18">
      <c r="A361" s="793"/>
      <c r="B361" s="705">
        <v>46238</v>
      </c>
      <c r="C361" s="454">
        <f t="shared" si="57"/>
        <v>0</v>
      </c>
      <c r="D361" s="440">
        <f>'4'!C46</f>
        <v>0</v>
      </c>
      <c r="E361" s="451"/>
      <c r="F361" s="451"/>
      <c r="G361" s="483"/>
      <c r="H361" s="442">
        <f t="shared" si="55"/>
        <v>0</v>
      </c>
      <c r="I361" s="442">
        <f t="shared" si="58"/>
        <v>0</v>
      </c>
      <c r="J361" s="453">
        <f t="shared" si="59"/>
        <v>0</v>
      </c>
      <c r="K361" s="478"/>
      <c r="L361" s="451"/>
      <c r="M361" s="451"/>
      <c r="N361" s="451"/>
      <c r="O361" s="451"/>
      <c r="P361" s="467"/>
      <c r="Q361" s="479">
        <f t="shared" si="56"/>
        <v>0</v>
      </c>
    </row>
    <row r="362" spans="1:17" ht="18">
      <c r="A362" s="793"/>
      <c r="B362" s="705">
        <v>46239</v>
      </c>
      <c r="C362" s="454">
        <f t="shared" si="57"/>
        <v>0</v>
      </c>
      <c r="D362" s="440">
        <f>'5'!C47</f>
        <v>0</v>
      </c>
      <c r="E362" s="451"/>
      <c r="F362" s="451"/>
      <c r="G362" s="483"/>
      <c r="H362" s="442">
        <f t="shared" si="55"/>
        <v>0</v>
      </c>
      <c r="I362" s="442">
        <f t="shared" si="58"/>
        <v>0</v>
      </c>
      <c r="J362" s="453">
        <f t="shared" si="59"/>
        <v>0</v>
      </c>
      <c r="K362" s="478"/>
      <c r="L362" s="451"/>
      <c r="M362" s="451"/>
      <c r="N362" s="451"/>
      <c r="O362" s="451"/>
      <c r="P362" s="467"/>
      <c r="Q362" s="479">
        <f t="shared" si="56"/>
        <v>0</v>
      </c>
    </row>
    <row r="363" spans="1:17" ht="18">
      <c r="A363" s="793"/>
      <c r="B363" s="705">
        <v>46240</v>
      </c>
      <c r="C363" s="454">
        <f t="shared" si="57"/>
        <v>0</v>
      </c>
      <c r="D363" s="440">
        <f>'6'!C46</f>
        <v>0</v>
      </c>
      <c r="E363" s="451"/>
      <c r="F363" s="451"/>
      <c r="G363" s="483"/>
      <c r="H363" s="442">
        <f t="shared" si="55"/>
        <v>0</v>
      </c>
      <c r="I363" s="442">
        <f t="shared" si="58"/>
        <v>0</v>
      </c>
      <c r="J363" s="453">
        <f t="shared" si="59"/>
        <v>0</v>
      </c>
      <c r="K363" s="478"/>
      <c r="L363" s="451"/>
      <c r="M363" s="451"/>
      <c r="N363" s="451"/>
      <c r="O363" s="451"/>
      <c r="P363" s="467"/>
      <c r="Q363" s="479">
        <f t="shared" si="56"/>
        <v>0</v>
      </c>
    </row>
    <row r="364" spans="1:17" ht="18">
      <c r="A364" s="793"/>
      <c r="B364" s="705">
        <v>46241</v>
      </c>
      <c r="C364" s="454">
        <f t="shared" si="57"/>
        <v>0</v>
      </c>
      <c r="D364" s="440">
        <f>'7'!C47</f>
        <v>0</v>
      </c>
      <c r="E364" s="451"/>
      <c r="F364" s="451"/>
      <c r="G364" s="483"/>
      <c r="H364" s="442">
        <f t="shared" si="55"/>
        <v>0</v>
      </c>
      <c r="I364" s="442">
        <f t="shared" si="58"/>
        <v>0</v>
      </c>
      <c r="J364" s="453">
        <f t="shared" si="59"/>
        <v>0</v>
      </c>
      <c r="K364" s="478"/>
      <c r="L364" s="451"/>
      <c r="M364" s="451"/>
      <c r="N364" s="451"/>
      <c r="O364" s="451"/>
      <c r="P364" s="467"/>
      <c r="Q364" s="479">
        <f t="shared" si="56"/>
        <v>0</v>
      </c>
    </row>
    <row r="365" spans="1:17" ht="18">
      <c r="A365" s="793"/>
      <c r="B365" s="705">
        <v>46242</v>
      </c>
      <c r="C365" s="454">
        <f t="shared" si="57"/>
        <v>0</v>
      </c>
      <c r="D365" s="440">
        <f>'8'!C47</f>
        <v>0</v>
      </c>
      <c r="E365" s="451"/>
      <c r="F365" s="451"/>
      <c r="G365" s="483"/>
      <c r="H365" s="442">
        <f t="shared" si="55"/>
        <v>0</v>
      </c>
      <c r="I365" s="442">
        <f t="shared" si="58"/>
        <v>0</v>
      </c>
      <c r="J365" s="453">
        <f t="shared" si="59"/>
        <v>0</v>
      </c>
      <c r="K365" s="478"/>
      <c r="L365" s="451"/>
      <c r="M365" s="451"/>
      <c r="N365" s="451"/>
      <c r="O365" s="451"/>
      <c r="P365" s="467"/>
      <c r="Q365" s="479">
        <f t="shared" si="56"/>
        <v>0</v>
      </c>
    </row>
    <row r="366" spans="1:17" ht="18">
      <c r="A366" s="793"/>
      <c r="B366" s="705">
        <v>46243</v>
      </c>
      <c r="C366" s="454">
        <f t="shared" si="57"/>
        <v>0</v>
      </c>
      <c r="D366" s="440">
        <f>'9'!C47</f>
        <v>0</v>
      </c>
      <c r="E366" s="451"/>
      <c r="F366" s="451"/>
      <c r="G366" s="483"/>
      <c r="H366" s="442">
        <f t="shared" si="55"/>
        <v>0</v>
      </c>
      <c r="I366" s="442">
        <f t="shared" si="58"/>
        <v>0</v>
      </c>
      <c r="J366" s="453">
        <f t="shared" si="59"/>
        <v>0</v>
      </c>
      <c r="K366" s="478"/>
      <c r="L366" s="451"/>
      <c r="M366" s="451"/>
      <c r="N366" s="451"/>
      <c r="O366" s="451"/>
      <c r="P366" s="467"/>
      <c r="Q366" s="479">
        <f t="shared" si="56"/>
        <v>0</v>
      </c>
    </row>
    <row r="367" spans="1:17" ht="18">
      <c r="A367" s="793"/>
      <c r="B367" s="705">
        <v>46244</v>
      </c>
      <c r="C367" s="454">
        <f t="shared" si="57"/>
        <v>0</v>
      </c>
      <c r="D367" s="440">
        <f>'10'!C47</f>
        <v>0</v>
      </c>
      <c r="E367" s="451"/>
      <c r="F367" s="451"/>
      <c r="G367" s="483"/>
      <c r="H367" s="442">
        <f t="shared" si="55"/>
        <v>0</v>
      </c>
      <c r="I367" s="442">
        <f t="shared" si="58"/>
        <v>0</v>
      </c>
      <c r="J367" s="453">
        <f t="shared" si="59"/>
        <v>0</v>
      </c>
      <c r="K367" s="478"/>
      <c r="L367" s="451"/>
      <c r="M367" s="451"/>
      <c r="N367" s="451"/>
      <c r="O367" s="451"/>
      <c r="P367" s="467"/>
      <c r="Q367" s="479">
        <f t="shared" si="56"/>
        <v>0</v>
      </c>
    </row>
    <row r="368" spans="1:17" ht="18">
      <c r="A368" s="793"/>
      <c r="B368" s="705">
        <v>46245</v>
      </c>
      <c r="C368" s="454">
        <f t="shared" si="57"/>
        <v>0</v>
      </c>
      <c r="D368" s="440">
        <f>'11'!C47</f>
        <v>0</v>
      </c>
      <c r="E368" s="451"/>
      <c r="F368" s="451"/>
      <c r="G368" s="483"/>
      <c r="H368" s="442">
        <f t="shared" si="55"/>
        <v>0</v>
      </c>
      <c r="I368" s="442">
        <f t="shared" si="58"/>
        <v>0</v>
      </c>
      <c r="J368" s="453">
        <f t="shared" si="59"/>
        <v>0</v>
      </c>
      <c r="K368" s="478"/>
      <c r="L368" s="451"/>
      <c r="M368" s="451"/>
      <c r="N368" s="451"/>
      <c r="O368" s="451"/>
      <c r="P368" s="467"/>
      <c r="Q368" s="479">
        <f t="shared" si="56"/>
        <v>0</v>
      </c>
    </row>
    <row r="369" spans="1:17" ht="18">
      <c r="A369" s="793"/>
      <c r="B369" s="705">
        <v>46246</v>
      </c>
      <c r="C369" s="454">
        <f t="shared" si="57"/>
        <v>0</v>
      </c>
      <c r="D369" s="440">
        <f>'12'!C47</f>
        <v>0</v>
      </c>
      <c r="E369" s="451"/>
      <c r="F369" s="451"/>
      <c r="G369" s="483"/>
      <c r="H369" s="442">
        <f t="shared" si="55"/>
        <v>0</v>
      </c>
      <c r="I369" s="442">
        <f t="shared" si="58"/>
        <v>0</v>
      </c>
      <c r="J369" s="453">
        <f t="shared" si="59"/>
        <v>0</v>
      </c>
      <c r="K369" s="478"/>
      <c r="L369" s="451"/>
      <c r="M369" s="451"/>
      <c r="N369" s="451"/>
      <c r="O369" s="451"/>
      <c r="P369" s="467"/>
      <c r="Q369" s="479">
        <f t="shared" si="56"/>
        <v>0</v>
      </c>
    </row>
    <row r="370" spans="1:17" ht="18">
      <c r="A370" s="793"/>
      <c r="B370" s="705">
        <v>46247</v>
      </c>
      <c r="C370" s="454">
        <f t="shared" si="57"/>
        <v>0</v>
      </c>
      <c r="D370" s="440">
        <f>'13'!C47</f>
        <v>0</v>
      </c>
      <c r="E370" s="451"/>
      <c r="F370" s="451"/>
      <c r="G370" s="483"/>
      <c r="H370" s="442">
        <f t="shared" si="55"/>
        <v>0</v>
      </c>
      <c r="I370" s="442">
        <f t="shared" si="58"/>
        <v>0</v>
      </c>
      <c r="J370" s="453">
        <f t="shared" si="59"/>
        <v>0</v>
      </c>
      <c r="K370" s="478"/>
      <c r="L370" s="451"/>
      <c r="M370" s="451"/>
      <c r="N370" s="451"/>
      <c r="O370" s="451"/>
      <c r="P370" s="467"/>
      <c r="Q370" s="479">
        <f t="shared" si="56"/>
        <v>0</v>
      </c>
    </row>
    <row r="371" spans="1:17" ht="18">
      <c r="A371" s="793"/>
      <c r="B371" s="705">
        <v>46248</v>
      </c>
      <c r="C371" s="454">
        <f t="shared" si="57"/>
        <v>0</v>
      </c>
      <c r="D371" s="440">
        <f>'14'!C47</f>
        <v>0</v>
      </c>
      <c r="E371" s="451"/>
      <c r="F371" s="451"/>
      <c r="G371" s="483"/>
      <c r="H371" s="442">
        <f t="shared" si="55"/>
        <v>0</v>
      </c>
      <c r="I371" s="442">
        <f t="shared" si="58"/>
        <v>0</v>
      </c>
      <c r="J371" s="453">
        <f t="shared" si="59"/>
        <v>0</v>
      </c>
      <c r="K371" s="478"/>
      <c r="L371" s="451"/>
      <c r="M371" s="451"/>
      <c r="N371" s="451"/>
      <c r="O371" s="451"/>
      <c r="P371" s="467"/>
      <c r="Q371" s="479">
        <f t="shared" si="56"/>
        <v>0</v>
      </c>
    </row>
    <row r="372" spans="1:17" ht="18">
      <c r="A372" s="793"/>
      <c r="B372" s="705">
        <v>46249</v>
      </c>
      <c r="C372" s="454">
        <f t="shared" si="57"/>
        <v>0</v>
      </c>
      <c r="D372" s="440">
        <f>'15'!C47</f>
        <v>0</v>
      </c>
      <c r="E372" s="451"/>
      <c r="F372" s="451"/>
      <c r="G372" s="483"/>
      <c r="H372" s="442">
        <f t="shared" si="55"/>
        <v>0</v>
      </c>
      <c r="I372" s="442">
        <f t="shared" si="58"/>
        <v>0</v>
      </c>
      <c r="J372" s="453">
        <f t="shared" si="59"/>
        <v>0</v>
      </c>
      <c r="K372" s="478"/>
      <c r="L372" s="451"/>
      <c r="M372" s="451"/>
      <c r="N372" s="451"/>
      <c r="O372" s="451"/>
      <c r="P372" s="467"/>
      <c r="Q372" s="479">
        <f t="shared" si="56"/>
        <v>0</v>
      </c>
    </row>
    <row r="373" spans="1:17" ht="18">
      <c r="A373" s="793"/>
      <c r="B373" s="705">
        <v>46250</v>
      </c>
      <c r="C373" s="454">
        <f t="shared" si="57"/>
        <v>0</v>
      </c>
      <c r="D373" s="440">
        <f>'16'!C47</f>
        <v>0</v>
      </c>
      <c r="E373" s="451"/>
      <c r="F373" s="451"/>
      <c r="G373" s="483"/>
      <c r="H373" s="442">
        <f t="shared" si="55"/>
        <v>0</v>
      </c>
      <c r="I373" s="442">
        <f t="shared" si="58"/>
        <v>0</v>
      </c>
      <c r="J373" s="453">
        <f t="shared" si="59"/>
        <v>0</v>
      </c>
      <c r="K373" s="478"/>
      <c r="L373" s="451"/>
      <c r="M373" s="451"/>
      <c r="N373" s="451"/>
      <c r="O373" s="451"/>
      <c r="P373" s="467"/>
      <c r="Q373" s="479">
        <f t="shared" si="56"/>
        <v>0</v>
      </c>
    </row>
    <row r="374" spans="1:17" ht="18">
      <c r="A374" s="793"/>
      <c r="B374" s="705">
        <v>46251</v>
      </c>
      <c r="C374" s="454">
        <f t="shared" si="57"/>
        <v>0</v>
      </c>
      <c r="D374" s="440">
        <f>'17'!C47</f>
        <v>0</v>
      </c>
      <c r="E374" s="451"/>
      <c r="F374" s="451"/>
      <c r="G374" s="483"/>
      <c r="H374" s="442">
        <f t="shared" si="55"/>
        <v>0</v>
      </c>
      <c r="I374" s="442">
        <f t="shared" si="58"/>
        <v>0</v>
      </c>
      <c r="J374" s="453">
        <f t="shared" si="59"/>
        <v>0</v>
      </c>
      <c r="K374" s="478"/>
      <c r="L374" s="451"/>
      <c r="M374" s="451"/>
      <c r="N374" s="451"/>
      <c r="O374" s="451"/>
      <c r="P374" s="467"/>
      <c r="Q374" s="479">
        <f t="shared" si="56"/>
        <v>0</v>
      </c>
    </row>
    <row r="375" spans="1:17" ht="18">
      <c r="A375" s="793"/>
      <c r="B375" s="705">
        <v>46252</v>
      </c>
      <c r="C375" s="454">
        <f t="shared" si="57"/>
        <v>0</v>
      </c>
      <c r="D375" s="440">
        <f>'18'!C47</f>
        <v>0</v>
      </c>
      <c r="E375" s="451"/>
      <c r="F375" s="451"/>
      <c r="G375" s="483"/>
      <c r="H375" s="442">
        <f t="shared" si="55"/>
        <v>0</v>
      </c>
      <c r="I375" s="442">
        <f t="shared" si="58"/>
        <v>0</v>
      </c>
      <c r="J375" s="453">
        <f t="shared" si="59"/>
        <v>0</v>
      </c>
      <c r="K375" s="478"/>
      <c r="L375" s="451"/>
      <c r="M375" s="451"/>
      <c r="N375" s="451"/>
      <c r="O375" s="451"/>
      <c r="P375" s="467"/>
      <c r="Q375" s="479">
        <f t="shared" si="56"/>
        <v>0</v>
      </c>
    </row>
    <row r="376" spans="1:17" ht="18">
      <c r="A376" s="793"/>
      <c r="B376" s="705">
        <v>46253</v>
      </c>
      <c r="C376" s="454">
        <f t="shared" si="57"/>
        <v>0</v>
      </c>
      <c r="D376" s="440">
        <f>'19'!C47</f>
        <v>0</v>
      </c>
      <c r="E376" s="451"/>
      <c r="F376" s="451"/>
      <c r="G376" s="483"/>
      <c r="H376" s="442">
        <f t="shared" si="55"/>
        <v>0</v>
      </c>
      <c r="I376" s="442">
        <f t="shared" si="58"/>
        <v>0</v>
      </c>
      <c r="J376" s="453">
        <f t="shared" si="59"/>
        <v>0</v>
      </c>
      <c r="K376" s="478"/>
      <c r="L376" s="451"/>
      <c r="M376" s="451"/>
      <c r="N376" s="451"/>
      <c r="O376" s="451"/>
      <c r="P376" s="467"/>
      <c r="Q376" s="479">
        <f t="shared" si="56"/>
        <v>0</v>
      </c>
    </row>
    <row r="377" spans="1:17" ht="18">
      <c r="A377" s="793"/>
      <c r="B377" s="705">
        <v>46254</v>
      </c>
      <c r="C377" s="454">
        <f t="shared" si="57"/>
        <v>0</v>
      </c>
      <c r="D377" s="440">
        <f>'20'!C47</f>
        <v>0</v>
      </c>
      <c r="E377" s="451"/>
      <c r="F377" s="451"/>
      <c r="G377" s="483"/>
      <c r="H377" s="442">
        <f t="shared" si="55"/>
        <v>0</v>
      </c>
      <c r="I377" s="442">
        <f t="shared" si="58"/>
        <v>0</v>
      </c>
      <c r="J377" s="453">
        <f t="shared" si="59"/>
        <v>0</v>
      </c>
      <c r="K377" s="478"/>
      <c r="L377" s="451"/>
      <c r="M377" s="451"/>
      <c r="N377" s="451"/>
      <c r="O377" s="451"/>
      <c r="P377" s="467"/>
      <c r="Q377" s="479">
        <f t="shared" si="56"/>
        <v>0</v>
      </c>
    </row>
    <row r="378" spans="1:17" ht="18">
      <c r="A378" s="793"/>
      <c r="B378" s="705">
        <v>46255</v>
      </c>
      <c r="C378" s="454">
        <f t="shared" si="57"/>
        <v>0</v>
      </c>
      <c r="D378" s="440">
        <f>'21'!C47</f>
        <v>0</v>
      </c>
      <c r="E378" s="451"/>
      <c r="F378" s="451"/>
      <c r="G378" s="483"/>
      <c r="H378" s="442">
        <f t="shared" si="55"/>
        <v>0</v>
      </c>
      <c r="I378" s="442">
        <f t="shared" si="58"/>
        <v>0</v>
      </c>
      <c r="J378" s="453">
        <f t="shared" si="59"/>
        <v>0</v>
      </c>
      <c r="K378" s="478"/>
      <c r="L378" s="451"/>
      <c r="M378" s="451"/>
      <c r="N378" s="451"/>
      <c r="O378" s="451"/>
      <c r="P378" s="467"/>
      <c r="Q378" s="479">
        <f t="shared" si="56"/>
        <v>0</v>
      </c>
    </row>
    <row r="379" spans="1:17" ht="18">
      <c r="A379" s="793"/>
      <c r="B379" s="705">
        <v>46256</v>
      </c>
      <c r="C379" s="454">
        <f t="shared" si="57"/>
        <v>0</v>
      </c>
      <c r="D379" s="440">
        <f>'22'!C47</f>
        <v>0</v>
      </c>
      <c r="E379" s="451"/>
      <c r="F379" s="451"/>
      <c r="G379" s="483"/>
      <c r="H379" s="442">
        <f t="shared" si="55"/>
        <v>0</v>
      </c>
      <c r="I379" s="442">
        <f t="shared" si="58"/>
        <v>0</v>
      </c>
      <c r="J379" s="453">
        <f t="shared" si="59"/>
        <v>0</v>
      </c>
      <c r="K379" s="478"/>
      <c r="L379" s="451"/>
      <c r="M379" s="451"/>
      <c r="N379" s="451"/>
      <c r="O379" s="451"/>
      <c r="P379" s="467"/>
      <c r="Q379" s="479">
        <f t="shared" si="56"/>
        <v>0</v>
      </c>
    </row>
    <row r="380" spans="1:17" ht="18">
      <c r="A380" s="793"/>
      <c r="B380" s="705">
        <v>46257</v>
      </c>
      <c r="C380" s="454">
        <f t="shared" si="57"/>
        <v>0</v>
      </c>
      <c r="D380" s="440">
        <f>'23'!C47</f>
        <v>0</v>
      </c>
      <c r="E380" s="451"/>
      <c r="F380" s="451"/>
      <c r="G380" s="483"/>
      <c r="H380" s="442">
        <f t="shared" si="55"/>
        <v>0</v>
      </c>
      <c r="I380" s="442">
        <f t="shared" si="58"/>
        <v>0</v>
      </c>
      <c r="J380" s="453">
        <f t="shared" si="59"/>
        <v>0</v>
      </c>
      <c r="K380" s="478"/>
      <c r="L380" s="451"/>
      <c r="M380" s="451"/>
      <c r="N380" s="451"/>
      <c r="O380" s="451"/>
      <c r="P380" s="467"/>
      <c r="Q380" s="479">
        <f t="shared" si="56"/>
        <v>0</v>
      </c>
    </row>
    <row r="381" spans="1:17" ht="18">
      <c r="A381" s="793"/>
      <c r="B381" s="705">
        <v>46258</v>
      </c>
      <c r="C381" s="454">
        <f t="shared" si="57"/>
        <v>0</v>
      </c>
      <c r="D381" s="440">
        <f>'24'!C47</f>
        <v>0</v>
      </c>
      <c r="E381" s="451"/>
      <c r="F381" s="451"/>
      <c r="G381" s="483"/>
      <c r="H381" s="442">
        <f t="shared" si="55"/>
        <v>0</v>
      </c>
      <c r="I381" s="442">
        <f t="shared" si="58"/>
        <v>0</v>
      </c>
      <c r="J381" s="453">
        <f t="shared" si="59"/>
        <v>0</v>
      </c>
      <c r="K381" s="478"/>
      <c r="L381" s="451"/>
      <c r="M381" s="451"/>
      <c r="N381" s="451"/>
      <c r="O381" s="451"/>
      <c r="P381" s="467"/>
      <c r="Q381" s="479">
        <f t="shared" si="56"/>
        <v>0</v>
      </c>
    </row>
    <row r="382" spans="1:17" ht="18">
      <c r="A382" s="793"/>
      <c r="B382" s="705">
        <v>46259</v>
      </c>
      <c r="C382" s="454">
        <f t="shared" si="57"/>
        <v>0</v>
      </c>
      <c r="D382" s="440">
        <f>'25'!C47</f>
        <v>0</v>
      </c>
      <c r="E382" s="451"/>
      <c r="F382" s="451"/>
      <c r="G382" s="483"/>
      <c r="H382" s="442">
        <f t="shared" si="55"/>
        <v>0</v>
      </c>
      <c r="I382" s="442">
        <f t="shared" si="58"/>
        <v>0</v>
      </c>
      <c r="J382" s="453">
        <f t="shared" si="59"/>
        <v>0</v>
      </c>
      <c r="K382" s="478"/>
      <c r="L382" s="451"/>
      <c r="M382" s="451"/>
      <c r="N382" s="451"/>
      <c r="O382" s="451"/>
      <c r="P382" s="467"/>
      <c r="Q382" s="479">
        <f t="shared" si="56"/>
        <v>0</v>
      </c>
    </row>
    <row r="383" spans="1:17" ht="18">
      <c r="A383" s="793"/>
      <c r="B383" s="705">
        <v>46260</v>
      </c>
      <c r="C383" s="454">
        <f t="shared" si="57"/>
        <v>0</v>
      </c>
      <c r="D383" s="440">
        <f>'26'!C47</f>
        <v>0</v>
      </c>
      <c r="E383" s="451"/>
      <c r="F383" s="451"/>
      <c r="G383" s="483"/>
      <c r="H383" s="442">
        <f t="shared" si="55"/>
        <v>0</v>
      </c>
      <c r="I383" s="442">
        <f t="shared" si="58"/>
        <v>0</v>
      </c>
      <c r="J383" s="453">
        <f t="shared" si="59"/>
        <v>0</v>
      </c>
      <c r="K383" s="478"/>
      <c r="L383" s="451"/>
      <c r="M383" s="451"/>
      <c r="N383" s="451"/>
      <c r="O383" s="451"/>
      <c r="P383" s="467"/>
      <c r="Q383" s="479">
        <f t="shared" si="56"/>
        <v>0</v>
      </c>
    </row>
    <row r="384" spans="1:17" ht="18">
      <c r="A384" s="786"/>
      <c r="B384" s="705">
        <v>46261</v>
      </c>
      <c r="C384" s="454">
        <f t="shared" si="57"/>
        <v>0</v>
      </c>
      <c r="D384" s="440">
        <f>'27'!C47</f>
        <v>0</v>
      </c>
      <c r="E384" s="375"/>
      <c r="F384" s="375"/>
      <c r="G384" s="443"/>
      <c r="H384" s="442">
        <f t="shared" si="55"/>
        <v>0</v>
      </c>
      <c r="I384" s="442">
        <f t="shared" si="58"/>
        <v>0</v>
      </c>
      <c r="J384" s="453">
        <f t="shared" si="59"/>
        <v>0</v>
      </c>
      <c r="K384" s="463"/>
      <c r="L384" s="375"/>
      <c r="M384" s="375"/>
      <c r="N384" s="375"/>
      <c r="O384" s="375"/>
      <c r="P384" s="443"/>
      <c r="Q384" s="479">
        <f t="shared" si="56"/>
        <v>0</v>
      </c>
    </row>
    <row r="385" spans="1:17" ht="18">
      <c r="A385" s="786"/>
      <c r="B385" s="705">
        <v>46262</v>
      </c>
      <c r="C385" s="454">
        <f t="shared" si="57"/>
        <v>0</v>
      </c>
      <c r="D385" s="440">
        <f>'28'!C47</f>
        <v>0</v>
      </c>
      <c r="E385" s="375"/>
      <c r="F385" s="375"/>
      <c r="G385" s="443"/>
      <c r="H385" s="442">
        <f t="shared" si="55"/>
        <v>0</v>
      </c>
      <c r="I385" s="442">
        <f t="shared" si="58"/>
        <v>0</v>
      </c>
      <c r="J385" s="453">
        <f t="shared" si="59"/>
        <v>0</v>
      </c>
      <c r="K385" s="463"/>
      <c r="L385" s="375"/>
      <c r="M385" s="375"/>
      <c r="N385" s="375"/>
      <c r="O385" s="375"/>
      <c r="P385" s="443"/>
      <c r="Q385" s="479">
        <f t="shared" si="56"/>
        <v>0</v>
      </c>
    </row>
    <row r="386" spans="1:17" ht="18">
      <c r="A386" s="786"/>
      <c r="B386" s="705">
        <v>46263</v>
      </c>
      <c r="C386" s="454">
        <f t="shared" si="57"/>
        <v>0</v>
      </c>
      <c r="D386" s="440">
        <f>'29'!C47</f>
        <v>0</v>
      </c>
      <c r="E386" s="375"/>
      <c r="F386" s="375"/>
      <c r="G386" s="443"/>
      <c r="H386" s="442">
        <f t="shared" si="55"/>
        <v>0</v>
      </c>
      <c r="I386" s="442">
        <f t="shared" si="58"/>
        <v>0</v>
      </c>
      <c r="J386" s="453">
        <f t="shared" si="59"/>
        <v>0</v>
      </c>
      <c r="K386" s="463"/>
      <c r="L386" s="375"/>
      <c r="M386" s="375"/>
      <c r="N386" s="375"/>
      <c r="O386" s="375"/>
      <c r="P386" s="443"/>
      <c r="Q386" s="479">
        <f t="shared" si="56"/>
        <v>0</v>
      </c>
    </row>
    <row r="387" spans="1:17" ht="18">
      <c r="A387" s="786"/>
      <c r="B387" s="705">
        <v>46264</v>
      </c>
      <c r="C387" s="454">
        <f t="shared" si="57"/>
        <v>0</v>
      </c>
      <c r="D387" s="440">
        <f>'30'!C47</f>
        <v>0</v>
      </c>
      <c r="E387" s="375"/>
      <c r="F387" s="375"/>
      <c r="G387" s="443"/>
      <c r="H387" s="442">
        <f t="shared" si="55"/>
        <v>0</v>
      </c>
      <c r="I387" s="442">
        <f t="shared" si="58"/>
        <v>0</v>
      </c>
      <c r="J387" s="453">
        <f t="shared" si="59"/>
        <v>0</v>
      </c>
      <c r="K387" s="463"/>
      <c r="L387" s="375"/>
      <c r="M387" s="375"/>
      <c r="N387" s="375"/>
      <c r="O387" s="375"/>
      <c r="P387" s="443"/>
      <c r="Q387" s="479">
        <f t="shared" si="56"/>
        <v>0</v>
      </c>
    </row>
    <row r="388" spans="1:17" ht="18">
      <c r="A388" s="786"/>
      <c r="B388" s="705">
        <v>46265</v>
      </c>
      <c r="C388" s="454">
        <f t="shared" si="57"/>
        <v>0</v>
      </c>
      <c r="D388" s="440">
        <f>'31'!C46</f>
        <v>0</v>
      </c>
      <c r="E388" s="471"/>
      <c r="F388" s="471"/>
      <c r="G388" s="472"/>
      <c r="H388" s="442">
        <f t="shared" si="55"/>
        <v>0</v>
      </c>
      <c r="I388" s="442">
        <f t="shared" si="58"/>
        <v>0</v>
      </c>
      <c r="J388" s="453">
        <f t="shared" si="59"/>
        <v>0</v>
      </c>
      <c r="K388" s="470"/>
      <c r="L388" s="471"/>
      <c r="M388" s="471"/>
      <c r="N388" s="471"/>
      <c r="O388" s="471"/>
      <c r="P388" s="472"/>
      <c r="Q388" s="479">
        <f t="shared" si="56"/>
        <v>0</v>
      </c>
    </row>
    <row r="389" spans="1:17" ht="15.75">
      <c r="A389" s="787"/>
      <c r="B389" s="766" t="s">
        <v>93</v>
      </c>
      <c r="C389" s="767"/>
      <c r="D389" s="782"/>
      <c r="E389" s="767"/>
      <c r="F389" s="767"/>
      <c r="G389" s="767"/>
      <c r="H389" s="489">
        <f>SUM(H358:H388)</f>
        <v>0</v>
      </c>
      <c r="I389" s="497"/>
      <c r="J389" s="497"/>
      <c r="K389" s="473">
        <f>SUM(K358:K388)</f>
        <v>0</v>
      </c>
      <c r="L389" s="474"/>
      <c r="M389" s="474">
        <f>SUM(M358:M388)</f>
        <v>0</v>
      </c>
      <c r="N389" s="474"/>
      <c r="O389" s="474"/>
      <c r="P389" s="474"/>
      <c r="Q389" s="474">
        <f>SUM(Q358:Q388)</f>
        <v>0</v>
      </c>
    </row>
  </sheetData>
  <sheetProtection sheet="1" objects="1" scenarios="1" formatCells="0" formatColumns="0" formatRows="0" insertColumns="0" insertRows="0"/>
  <mergeCells count="50">
    <mergeCell ref="B389:G389"/>
    <mergeCell ref="A4:A5"/>
    <mergeCell ref="A6:A37"/>
    <mergeCell ref="A38:A69"/>
    <mergeCell ref="A70:A101"/>
    <mergeCell ref="A102:A133"/>
    <mergeCell ref="A134:A165"/>
    <mergeCell ref="A166:A197"/>
    <mergeCell ref="A198:A229"/>
    <mergeCell ref="A230:A261"/>
    <mergeCell ref="A262:A293"/>
    <mergeCell ref="A294:A325"/>
    <mergeCell ref="A326:A357"/>
    <mergeCell ref="A358:A389"/>
    <mergeCell ref="B4:B5"/>
    <mergeCell ref="C4:C5"/>
    <mergeCell ref="B229:G229"/>
    <mergeCell ref="B261:G261"/>
    <mergeCell ref="B293:G293"/>
    <mergeCell ref="B325:G325"/>
    <mergeCell ref="B357:G357"/>
    <mergeCell ref="B69:G69"/>
    <mergeCell ref="B101:G101"/>
    <mergeCell ref="B133:G133"/>
    <mergeCell ref="B165:G165"/>
    <mergeCell ref="B197:G197"/>
    <mergeCell ref="A3:Q3"/>
    <mergeCell ref="E4:F4"/>
    <mergeCell ref="N4:P4"/>
    <mergeCell ref="R6:W6"/>
    <mergeCell ref="B37:G37"/>
    <mergeCell ref="I37:J37"/>
    <mergeCell ref="N37:P37"/>
    <mergeCell ref="D4:D5"/>
    <mergeCell ref="G4:G5"/>
    <mergeCell ref="H4:H5"/>
    <mergeCell ref="I4:I5"/>
    <mergeCell ref="J4:J5"/>
    <mergeCell ref="K4:K5"/>
    <mergeCell ref="L4:L5"/>
    <mergeCell ref="M4:M5"/>
    <mergeCell ref="Q4:Q5"/>
    <mergeCell ref="A1:Q1"/>
    <mergeCell ref="A2:B2"/>
    <mergeCell ref="C2:D2"/>
    <mergeCell ref="E2:F2"/>
    <mergeCell ref="H2:J2"/>
    <mergeCell ref="K2:L2"/>
    <mergeCell ref="M2:O2"/>
    <mergeCell ref="P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7"/>
  <sheetViews>
    <sheetView zoomScale="55" zoomScaleNormal="55" workbookViewId="0">
      <pane xSplit="1" ySplit="3" topLeftCell="B13" activePane="bottomRight" state="frozen"/>
      <selection activeCell="G12" sqref="G12"/>
      <selection pane="topRight" activeCell="G12" sqref="G12"/>
      <selection pane="bottomLeft" activeCell="G12" sqref="G12"/>
      <selection pane="bottomRight" activeCell="C16" sqref="C16"/>
    </sheetView>
  </sheetViews>
  <sheetFormatPr defaultColWidth="9" defaultRowHeight="15"/>
  <cols>
    <col min="1" max="1" width="46" style="499" customWidth="1"/>
    <col min="2" max="2" width="22.7109375" style="499" customWidth="1"/>
    <col min="3" max="3" width="30.85546875" style="499" customWidth="1"/>
    <col min="4" max="5" width="26" style="499" customWidth="1"/>
    <col min="6" max="6" width="32.85546875" style="499" customWidth="1"/>
    <col min="7" max="7" width="25.42578125" style="499" customWidth="1"/>
    <col min="8" max="8" width="29.140625" style="499" customWidth="1"/>
    <col min="9" max="9" width="24.28515625" style="499" customWidth="1"/>
    <col min="10" max="10" width="25.42578125" style="499" customWidth="1"/>
    <col min="11" max="11" width="28.85546875" style="499" customWidth="1"/>
    <col min="12" max="12" width="21.28515625" style="499" customWidth="1"/>
    <col min="13" max="13" width="37.7109375" style="499" customWidth="1"/>
    <col min="14" max="23" width="46" style="499" customWidth="1"/>
    <col min="24" max="28" width="37.42578125" style="499" customWidth="1"/>
    <col min="29" max="29" width="22.28515625" style="499" customWidth="1"/>
    <col min="30" max="16384" width="9" style="499"/>
  </cols>
  <sheetData>
    <row r="1" spans="1:28" ht="98.25" customHeight="1" thickBot="1">
      <c r="A1" s="794" t="s">
        <v>27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795"/>
      <c r="AA1" s="795"/>
      <c r="AB1" s="796"/>
    </row>
    <row r="2" spans="1:28" s="498" customFormat="1" ht="108" customHeight="1" thickBot="1">
      <c r="A2" s="797"/>
      <c r="B2" s="798"/>
      <c r="C2" s="798"/>
      <c r="D2" s="798"/>
      <c r="E2" s="798"/>
      <c r="F2" s="798"/>
      <c r="G2" s="798"/>
      <c r="H2" s="798"/>
      <c r="I2" s="798"/>
      <c r="J2" s="798"/>
      <c r="K2" s="799" t="s">
        <v>28</v>
      </c>
      <c r="L2" s="800"/>
      <c r="M2" s="801">
        <v>46235</v>
      </c>
      <c r="N2" s="802"/>
      <c r="O2" s="799" t="s">
        <v>2</v>
      </c>
      <c r="P2" s="803"/>
      <c r="Q2" s="804" t="s">
        <v>176</v>
      </c>
      <c r="R2" s="802"/>
      <c r="S2" s="797"/>
      <c r="T2" s="798"/>
      <c r="U2" s="798"/>
      <c r="V2" s="798"/>
      <c r="W2" s="798"/>
      <c r="X2" s="798"/>
      <c r="Y2" s="798"/>
      <c r="Z2" s="798"/>
      <c r="AA2" s="798"/>
      <c r="AB2" s="805"/>
    </row>
    <row r="3" spans="1:28" ht="134.25" customHeight="1" thickBot="1">
      <c r="A3" s="500" t="s">
        <v>29</v>
      </c>
      <c r="B3" s="500" t="s">
        <v>30</v>
      </c>
      <c r="C3" s="500" t="s">
        <v>31</v>
      </c>
      <c r="D3" s="500" t="s">
        <v>32</v>
      </c>
      <c r="E3" s="500" t="s">
        <v>33</v>
      </c>
      <c r="F3" s="501" t="s">
        <v>34</v>
      </c>
      <c r="G3" s="501" t="s">
        <v>35</v>
      </c>
      <c r="H3" s="501" t="s">
        <v>36</v>
      </c>
      <c r="I3" s="501" t="s">
        <v>37</v>
      </c>
      <c r="J3" s="501" t="s">
        <v>38</v>
      </c>
      <c r="K3" s="501" t="s">
        <v>5</v>
      </c>
      <c r="L3" s="501" t="s">
        <v>6</v>
      </c>
      <c r="M3" s="501" t="s">
        <v>7</v>
      </c>
      <c r="N3" s="501" t="s">
        <v>39</v>
      </c>
      <c r="O3" s="501" t="s">
        <v>9</v>
      </c>
      <c r="P3" s="501" t="s">
        <v>10</v>
      </c>
      <c r="Q3" s="531" t="s">
        <v>40</v>
      </c>
      <c r="R3" s="532"/>
      <c r="S3" s="532"/>
      <c r="T3" s="532"/>
      <c r="U3" s="532"/>
      <c r="V3" s="533"/>
      <c r="W3" s="534"/>
      <c r="X3" s="533"/>
      <c r="Y3" s="533"/>
      <c r="Z3" s="533"/>
      <c r="AA3" s="535" t="s">
        <v>41</v>
      </c>
      <c r="AB3" s="500" t="s">
        <v>42</v>
      </c>
    </row>
    <row r="4" spans="1:28" ht="42.75" customHeight="1">
      <c r="A4" s="553">
        <v>46235</v>
      </c>
      <c r="B4" s="502">
        <f>'1'!B30</f>
        <v>100</v>
      </c>
      <c r="C4" s="503">
        <f>'1'!C30</f>
        <v>800</v>
      </c>
      <c r="D4" s="504">
        <f t="shared" ref="D4:D35" si="0">B4+C4</f>
        <v>900</v>
      </c>
      <c r="E4" s="505">
        <f t="shared" ref="E4:E18" si="1">D4-AA4</f>
        <v>440</v>
      </c>
      <c r="F4" s="506">
        <f>'1'!C6</f>
        <v>170</v>
      </c>
      <c r="G4" s="506">
        <f>'1'!C7</f>
        <v>80</v>
      </c>
      <c r="H4" s="506">
        <f>'1'!C8</f>
        <v>0</v>
      </c>
      <c r="I4" s="506">
        <f>'1'!C9</f>
        <v>200</v>
      </c>
      <c r="J4" s="506">
        <f>'1'!C10</f>
        <v>0</v>
      </c>
      <c r="K4" s="506">
        <f>'1'!C11</f>
        <v>0</v>
      </c>
      <c r="L4" s="506">
        <f>'1'!C12</f>
        <v>0</v>
      </c>
      <c r="M4" s="506">
        <f>'1'!C13</f>
        <v>0</v>
      </c>
      <c r="N4" s="506">
        <f>'1'!C14</f>
        <v>0</v>
      </c>
      <c r="O4" s="506">
        <f>'1'!C15</f>
        <v>0</v>
      </c>
      <c r="P4" s="506">
        <f>'1'!C16</f>
        <v>10</v>
      </c>
      <c r="Q4" s="506">
        <f>'1'!C17</f>
        <v>0</v>
      </c>
      <c r="R4" s="506">
        <f>'1'!C18</f>
        <v>0</v>
      </c>
      <c r="S4" s="506">
        <f>'1'!C19</f>
        <v>0</v>
      </c>
      <c r="T4" s="506">
        <f>'1'!C20</f>
        <v>0</v>
      </c>
      <c r="U4" s="506">
        <f>'1'!C21</f>
        <v>0</v>
      </c>
      <c r="V4" s="506">
        <f>'1'!C22</f>
        <v>0</v>
      </c>
      <c r="W4" s="506">
        <f>'1'!C23</f>
        <v>0</v>
      </c>
      <c r="X4" s="506">
        <f>'1'!C24</f>
        <v>0</v>
      </c>
      <c r="Y4" s="506">
        <f>'1'!C25</f>
        <v>0</v>
      </c>
      <c r="Z4" s="506">
        <f>'1'!C26</f>
        <v>0</v>
      </c>
      <c r="AA4" s="536">
        <f>Z4+Y4+X4+W4+V4+U4+T4+S4+R4+Q4+P4+O4+N4+M4+L4+K4+J4+I4+H4+G4+F4</f>
        <v>460</v>
      </c>
      <c r="AB4" s="537"/>
    </row>
    <row r="5" spans="1:28" ht="42.75" customHeight="1">
      <c r="A5" s="553">
        <v>46236</v>
      </c>
      <c r="B5" s="507">
        <f t="shared" ref="B5:B18" si="2">E4</f>
        <v>440</v>
      </c>
      <c r="C5" s="508">
        <f>'2'!C30</f>
        <v>0</v>
      </c>
      <c r="D5" s="509">
        <f t="shared" si="0"/>
        <v>440</v>
      </c>
      <c r="E5" s="510">
        <f t="shared" si="1"/>
        <v>110</v>
      </c>
      <c r="F5" s="511">
        <f>'2'!C6</f>
        <v>0</v>
      </c>
      <c r="G5" s="511">
        <f>'2'!C7</f>
        <v>200</v>
      </c>
      <c r="H5" s="511">
        <f>'2'!C8</f>
        <v>0</v>
      </c>
      <c r="I5" s="511">
        <f>'2'!C9</f>
        <v>130</v>
      </c>
      <c r="J5" s="511">
        <f>'2'!C10</f>
        <v>0</v>
      </c>
      <c r="K5" s="511">
        <f>'2'!C11</f>
        <v>0</v>
      </c>
      <c r="L5" s="511">
        <f>'2'!C12</f>
        <v>0</v>
      </c>
      <c r="M5" s="511">
        <f>'2'!C13</f>
        <v>0</v>
      </c>
      <c r="N5" s="511">
        <f>'2'!C14</f>
        <v>0</v>
      </c>
      <c r="O5" s="511">
        <f>'2'!C15</f>
        <v>0</v>
      </c>
      <c r="P5" s="511">
        <f>'2'!C16</f>
        <v>0</v>
      </c>
      <c r="Q5" s="511">
        <f>'2'!C17</f>
        <v>0</v>
      </c>
      <c r="R5" s="511">
        <f>'2'!C18</f>
        <v>0</v>
      </c>
      <c r="S5" s="511">
        <f>'2'!C19</f>
        <v>0</v>
      </c>
      <c r="T5" s="511">
        <f>'2'!C20</f>
        <v>0</v>
      </c>
      <c r="U5" s="511">
        <f>'2'!C21</f>
        <v>0</v>
      </c>
      <c r="V5" s="511">
        <f>'2'!C22</f>
        <v>0</v>
      </c>
      <c r="W5" s="511">
        <f>'2'!C23</f>
        <v>0</v>
      </c>
      <c r="X5" s="511">
        <f>'2'!C24</f>
        <v>0</v>
      </c>
      <c r="Y5" s="511">
        <f>'2'!C25</f>
        <v>0</v>
      </c>
      <c r="Z5" s="511">
        <f>'2'!C26</f>
        <v>0</v>
      </c>
      <c r="AA5" s="536">
        <f>Z5+Y5+X5+W5+V5+U5+T5+S5+R5+Q5+P5+O5+N5+M5+L5+K5+J5+I5+H5+G5+F5</f>
        <v>330</v>
      </c>
      <c r="AB5" s="538"/>
    </row>
    <row r="6" spans="1:28" ht="42.75" customHeight="1">
      <c r="A6" s="553">
        <v>46237</v>
      </c>
      <c r="B6" s="507">
        <f t="shared" si="2"/>
        <v>110</v>
      </c>
      <c r="C6" s="508">
        <f>'3'!C30</f>
        <v>800</v>
      </c>
      <c r="D6" s="509">
        <f t="shared" si="0"/>
        <v>910</v>
      </c>
      <c r="E6" s="510">
        <f t="shared" si="1"/>
        <v>765</v>
      </c>
      <c r="F6" s="511">
        <f>'3'!C6</f>
        <v>0</v>
      </c>
      <c r="G6" s="511">
        <f>'3'!C7</f>
        <v>0</v>
      </c>
      <c r="H6" s="511">
        <f>'3'!C8</f>
        <v>0</v>
      </c>
      <c r="I6" s="511">
        <f>'3'!C9</f>
        <v>145</v>
      </c>
      <c r="J6" s="511">
        <f>'3'!C10</f>
        <v>0</v>
      </c>
      <c r="K6" s="511">
        <f>'3'!C11</f>
        <v>0</v>
      </c>
      <c r="L6" s="511">
        <f>'3'!C12</f>
        <v>0</v>
      </c>
      <c r="M6" s="511">
        <f>'3'!C13</f>
        <v>0</v>
      </c>
      <c r="N6" s="511">
        <f>'3'!C14</f>
        <v>0</v>
      </c>
      <c r="O6" s="511">
        <f>'3'!C15</f>
        <v>0</v>
      </c>
      <c r="P6" s="511">
        <f>'3'!C16</f>
        <v>0</v>
      </c>
      <c r="Q6" s="511">
        <f>'3'!C17</f>
        <v>0</v>
      </c>
      <c r="R6" s="511">
        <f>'3'!C18</f>
        <v>0</v>
      </c>
      <c r="S6" s="511">
        <f>'3'!C19</f>
        <v>0</v>
      </c>
      <c r="T6" s="511">
        <f>'3'!C20</f>
        <v>0</v>
      </c>
      <c r="U6" s="511">
        <f>'3'!C21</f>
        <v>0</v>
      </c>
      <c r="V6" s="511">
        <f>'3'!C22</f>
        <v>0</v>
      </c>
      <c r="W6" s="511">
        <f>'3'!C23</f>
        <v>0</v>
      </c>
      <c r="X6" s="511">
        <f>'3'!C24</f>
        <v>0</v>
      </c>
      <c r="Y6" s="511">
        <f>'3'!C25</f>
        <v>0</v>
      </c>
      <c r="Z6" s="511">
        <f>'3'!C26</f>
        <v>0</v>
      </c>
      <c r="AA6" s="536">
        <f t="shared" ref="AA6:AA36" si="3">Z6+Y6+X6+W6+V6+U6+T6+S6+R6+Q6+P6+O6+N6+M6+L6+K6+J6+I6+H6+G6+F6</f>
        <v>145</v>
      </c>
      <c r="AB6" s="538"/>
    </row>
    <row r="7" spans="1:28" ht="42.75" customHeight="1">
      <c r="A7" s="553">
        <v>46238</v>
      </c>
      <c r="B7" s="507">
        <f t="shared" si="2"/>
        <v>765</v>
      </c>
      <c r="C7" s="508">
        <f>'4'!C30</f>
        <v>0</v>
      </c>
      <c r="D7" s="509">
        <f t="shared" si="0"/>
        <v>765</v>
      </c>
      <c r="E7" s="510">
        <f t="shared" si="1"/>
        <v>415</v>
      </c>
      <c r="F7" s="511">
        <f>'4'!C6</f>
        <v>150</v>
      </c>
      <c r="G7" s="511">
        <f>'4'!C7</f>
        <v>0</v>
      </c>
      <c r="H7" s="511">
        <f>'4'!C8</f>
        <v>150</v>
      </c>
      <c r="I7" s="511">
        <f>'4'!C9</f>
        <v>50</v>
      </c>
      <c r="J7" s="511">
        <f>'4'!C10</f>
        <v>0</v>
      </c>
      <c r="K7" s="511">
        <f>'4'!C11</f>
        <v>0</v>
      </c>
      <c r="L7" s="511">
        <f>'4'!C12</f>
        <v>0</v>
      </c>
      <c r="M7" s="511">
        <f>'4'!C13</f>
        <v>0</v>
      </c>
      <c r="N7" s="511">
        <f>'4'!C14</f>
        <v>0</v>
      </c>
      <c r="O7" s="511">
        <f>'4'!C15</f>
        <v>0</v>
      </c>
      <c r="P7" s="511">
        <f>'4'!C16</f>
        <v>0</v>
      </c>
      <c r="Q7" s="511">
        <f>'4'!C17</f>
        <v>0</v>
      </c>
      <c r="R7" s="511">
        <f>'4'!C18</f>
        <v>0</v>
      </c>
      <c r="S7" s="511">
        <f>'4'!C19</f>
        <v>0</v>
      </c>
      <c r="T7" s="511">
        <f>'4'!C20</f>
        <v>0</v>
      </c>
      <c r="U7" s="511">
        <f>'4'!C21</f>
        <v>0</v>
      </c>
      <c r="V7" s="511">
        <f>'4'!C22</f>
        <v>0</v>
      </c>
      <c r="W7" s="511">
        <f>'4'!C23</f>
        <v>0</v>
      </c>
      <c r="X7" s="511">
        <f>'4'!C24</f>
        <v>0</v>
      </c>
      <c r="Y7" s="511">
        <f>'4'!C25</f>
        <v>0</v>
      </c>
      <c r="Z7" s="511">
        <f>'4'!C26</f>
        <v>0</v>
      </c>
      <c r="AA7" s="536">
        <f t="shared" si="3"/>
        <v>350</v>
      </c>
      <c r="AB7" s="538"/>
    </row>
    <row r="8" spans="1:28" ht="42.75" customHeight="1">
      <c r="A8" s="553">
        <v>46239</v>
      </c>
      <c r="B8" s="507">
        <f t="shared" si="2"/>
        <v>415</v>
      </c>
      <c r="C8" s="508">
        <f>'5'!C31</f>
        <v>800</v>
      </c>
      <c r="D8" s="509">
        <f t="shared" si="0"/>
        <v>1215</v>
      </c>
      <c r="E8" s="510">
        <f t="shared" si="1"/>
        <v>635</v>
      </c>
      <c r="F8" s="511">
        <f>'5'!C6</f>
        <v>200</v>
      </c>
      <c r="G8" s="511">
        <f>'5'!C7</f>
        <v>200</v>
      </c>
      <c r="H8" s="511">
        <f>'5'!C8</f>
        <v>150</v>
      </c>
      <c r="I8" s="511">
        <f>'5'!C9</f>
        <v>30</v>
      </c>
      <c r="J8" s="511">
        <f>'5'!C10</f>
        <v>0</v>
      </c>
      <c r="K8" s="511">
        <f>'5'!C12</f>
        <v>0</v>
      </c>
      <c r="L8" s="511">
        <f>'5'!C13</f>
        <v>0</v>
      </c>
      <c r="M8" s="511">
        <f>'5'!C14</f>
        <v>0</v>
      </c>
      <c r="N8" s="511">
        <f>'5'!C15</f>
        <v>0</v>
      </c>
      <c r="O8" s="511">
        <f>'5'!C16</f>
        <v>0</v>
      </c>
      <c r="P8" s="511">
        <f>'5'!C17</f>
        <v>0</v>
      </c>
      <c r="Q8" s="511">
        <f>'5'!C18</f>
        <v>0</v>
      </c>
      <c r="R8" s="511">
        <f>'5'!C19</f>
        <v>0</v>
      </c>
      <c r="S8" s="511">
        <f>'5'!C20</f>
        <v>0</v>
      </c>
      <c r="T8" s="511">
        <f>'5'!C21</f>
        <v>0</v>
      </c>
      <c r="U8" s="511">
        <f>'5'!C22</f>
        <v>0</v>
      </c>
      <c r="V8" s="511">
        <f>'5'!C23</f>
        <v>0</v>
      </c>
      <c r="W8" s="511">
        <f>'5'!C24</f>
        <v>0</v>
      </c>
      <c r="X8" s="511">
        <f>'5'!C25</f>
        <v>0</v>
      </c>
      <c r="Y8" s="511">
        <f>'5'!C26</f>
        <v>0</v>
      </c>
      <c r="Z8" s="511">
        <f>'5'!C27</f>
        <v>0</v>
      </c>
      <c r="AA8" s="536">
        <f t="shared" si="3"/>
        <v>580</v>
      </c>
      <c r="AB8" s="538"/>
    </row>
    <row r="9" spans="1:28" ht="42.75" customHeight="1">
      <c r="A9" s="553">
        <v>46240</v>
      </c>
      <c r="B9" s="507">
        <f t="shared" si="2"/>
        <v>635</v>
      </c>
      <c r="C9" s="508">
        <f>'6'!C30</f>
        <v>0</v>
      </c>
      <c r="D9" s="509">
        <f t="shared" si="0"/>
        <v>635</v>
      </c>
      <c r="E9" s="510">
        <f t="shared" si="1"/>
        <v>505</v>
      </c>
      <c r="F9" s="511">
        <f>'6'!C6</f>
        <v>0</v>
      </c>
      <c r="G9" s="511">
        <f>'6'!C7</f>
        <v>0</v>
      </c>
      <c r="H9" s="511">
        <f>'6'!C8</f>
        <v>0</v>
      </c>
      <c r="I9" s="511">
        <f>'6'!C9</f>
        <v>130</v>
      </c>
      <c r="J9" s="511">
        <f>'6'!C10</f>
        <v>0</v>
      </c>
      <c r="K9" s="511">
        <f>'6'!C11</f>
        <v>0</v>
      </c>
      <c r="L9" s="511">
        <f>'6'!C12</f>
        <v>0</v>
      </c>
      <c r="M9" s="511">
        <f>'6'!C13</f>
        <v>0</v>
      </c>
      <c r="N9" s="511">
        <f>'6'!C14</f>
        <v>0</v>
      </c>
      <c r="O9" s="511">
        <f>'6'!C15</f>
        <v>0</v>
      </c>
      <c r="P9" s="511">
        <f>'6'!C16</f>
        <v>0</v>
      </c>
      <c r="Q9" s="511">
        <f>'6'!C17</f>
        <v>0</v>
      </c>
      <c r="R9" s="511">
        <f>'6'!C18</f>
        <v>0</v>
      </c>
      <c r="S9" s="511">
        <f>'6'!C19</f>
        <v>0</v>
      </c>
      <c r="T9" s="511">
        <f>'6'!C20</f>
        <v>0</v>
      </c>
      <c r="U9" s="511">
        <f>'6'!C21</f>
        <v>0</v>
      </c>
      <c r="V9" s="511">
        <f>'6'!C22</f>
        <v>0</v>
      </c>
      <c r="W9" s="511">
        <f>'6'!C23</f>
        <v>0</v>
      </c>
      <c r="X9" s="511">
        <f>'6'!C24</f>
        <v>0</v>
      </c>
      <c r="Y9" s="511">
        <f>'6'!C25</f>
        <v>0</v>
      </c>
      <c r="Z9" s="511">
        <f>'6'!C26</f>
        <v>0</v>
      </c>
      <c r="AA9" s="536">
        <f t="shared" si="3"/>
        <v>130</v>
      </c>
      <c r="AB9" s="539"/>
    </row>
    <row r="10" spans="1:28" ht="42.75" customHeight="1">
      <c r="A10" s="553">
        <v>46241</v>
      </c>
      <c r="B10" s="507">
        <f t="shared" si="2"/>
        <v>505</v>
      </c>
      <c r="C10" s="508">
        <f>'7'!C31</f>
        <v>600</v>
      </c>
      <c r="D10" s="509">
        <f t="shared" si="0"/>
        <v>1105</v>
      </c>
      <c r="E10" s="510">
        <f t="shared" si="1"/>
        <v>885</v>
      </c>
      <c r="F10" s="511">
        <f>'7'!C6</f>
        <v>50</v>
      </c>
      <c r="G10" s="511">
        <f>'7'!C7</f>
        <v>0</v>
      </c>
      <c r="H10" s="511">
        <f>'7'!C8</f>
        <v>130</v>
      </c>
      <c r="I10" s="511">
        <f>'7'!C9</f>
        <v>40</v>
      </c>
      <c r="J10" s="511">
        <f>'7'!C10</f>
        <v>0</v>
      </c>
      <c r="K10" s="511">
        <f>'7'!C12</f>
        <v>0</v>
      </c>
      <c r="L10" s="511">
        <f>'7'!C13</f>
        <v>0</v>
      </c>
      <c r="M10" s="511">
        <f>'7'!C14</f>
        <v>0</v>
      </c>
      <c r="N10" s="511">
        <f>'7'!C15</f>
        <v>0</v>
      </c>
      <c r="O10" s="511">
        <f>'7'!C16</f>
        <v>0</v>
      </c>
      <c r="P10" s="511">
        <f>'7'!C17</f>
        <v>0</v>
      </c>
      <c r="Q10" s="511">
        <f>'7'!C18</f>
        <v>0</v>
      </c>
      <c r="R10" s="511">
        <f>'7'!C19</f>
        <v>0</v>
      </c>
      <c r="S10" s="511">
        <f>'7'!C20</f>
        <v>0</v>
      </c>
      <c r="T10" s="511">
        <f>'7'!C21</f>
        <v>0</v>
      </c>
      <c r="U10" s="511">
        <f>'7'!C22</f>
        <v>0</v>
      </c>
      <c r="V10" s="511">
        <f>'7'!C23</f>
        <v>0</v>
      </c>
      <c r="W10" s="511">
        <f>'7'!C24</f>
        <v>0</v>
      </c>
      <c r="X10" s="511">
        <f>'7'!C25</f>
        <v>0</v>
      </c>
      <c r="Y10" s="511">
        <f>'7'!C26</f>
        <v>0</v>
      </c>
      <c r="Z10" s="511">
        <f>'7'!C27</f>
        <v>0</v>
      </c>
      <c r="AA10" s="536">
        <f t="shared" si="3"/>
        <v>220</v>
      </c>
      <c r="AB10" s="538"/>
    </row>
    <row r="11" spans="1:28" ht="42.75" customHeight="1">
      <c r="A11" s="553">
        <v>46242</v>
      </c>
      <c r="B11" s="507">
        <f t="shared" si="2"/>
        <v>885</v>
      </c>
      <c r="C11" s="508">
        <f>'8'!C31</f>
        <v>0</v>
      </c>
      <c r="D11" s="509">
        <f t="shared" si="0"/>
        <v>885</v>
      </c>
      <c r="E11" s="510">
        <f t="shared" si="1"/>
        <v>315</v>
      </c>
      <c r="F11" s="511">
        <f>'8'!C6</f>
        <v>200</v>
      </c>
      <c r="G11" s="511">
        <f>'8'!C7</f>
        <v>200</v>
      </c>
      <c r="H11" s="511">
        <f>'8'!C8</f>
        <v>30</v>
      </c>
      <c r="I11" s="511">
        <f>'8'!C9</f>
        <v>140</v>
      </c>
      <c r="J11" s="511">
        <f>'8'!C10</f>
        <v>0</v>
      </c>
      <c r="K11" s="511">
        <f>'8'!C12</f>
        <v>0</v>
      </c>
      <c r="L11" s="511">
        <f>'8'!C13</f>
        <v>0</v>
      </c>
      <c r="M11" s="511">
        <f>'8'!C14</f>
        <v>0</v>
      </c>
      <c r="N11" s="511">
        <f>'8'!C15</f>
        <v>0</v>
      </c>
      <c r="O11" s="511">
        <f>'8'!C16</f>
        <v>0</v>
      </c>
      <c r="P11" s="511">
        <f>'8'!C17</f>
        <v>0</v>
      </c>
      <c r="Q11" s="511">
        <f>'8'!C18</f>
        <v>0</v>
      </c>
      <c r="R11" s="511">
        <f>'8'!C19</f>
        <v>0</v>
      </c>
      <c r="S11" s="511">
        <f>'8'!C20</f>
        <v>0</v>
      </c>
      <c r="T11" s="511">
        <f>'8'!C21</f>
        <v>0</v>
      </c>
      <c r="U11" s="511">
        <f>'8'!C22</f>
        <v>0</v>
      </c>
      <c r="V11" s="511">
        <f>'8'!C23</f>
        <v>0</v>
      </c>
      <c r="W11" s="511">
        <f>'8'!C24</f>
        <v>0</v>
      </c>
      <c r="X11" s="511">
        <f>'8'!C25</f>
        <v>0</v>
      </c>
      <c r="Y11" s="511">
        <f>'8'!C26</f>
        <v>0</v>
      </c>
      <c r="Z11" s="511">
        <f>'8'!C27</f>
        <v>0</v>
      </c>
      <c r="AA11" s="536">
        <f t="shared" si="3"/>
        <v>570</v>
      </c>
      <c r="AB11" s="540"/>
    </row>
    <row r="12" spans="1:28" ht="42.75" customHeight="1">
      <c r="A12" s="553">
        <v>46243</v>
      </c>
      <c r="B12" s="507">
        <f t="shared" si="2"/>
        <v>315</v>
      </c>
      <c r="C12" s="508">
        <f>'9'!C31</f>
        <v>800</v>
      </c>
      <c r="D12" s="509">
        <f t="shared" si="0"/>
        <v>1115</v>
      </c>
      <c r="E12" s="510">
        <f t="shared" si="1"/>
        <v>610</v>
      </c>
      <c r="F12" s="511">
        <f>'9'!C6</f>
        <v>150</v>
      </c>
      <c r="G12" s="511">
        <f>'9'!C7</f>
        <v>200</v>
      </c>
      <c r="H12" s="511">
        <f>'9'!C8</f>
        <v>155</v>
      </c>
      <c r="I12" s="511">
        <f>'9'!C9</f>
        <v>0</v>
      </c>
      <c r="J12" s="511">
        <f>'9'!C10</f>
        <v>0</v>
      </c>
      <c r="K12" s="511">
        <f>'9'!C12</f>
        <v>0</v>
      </c>
      <c r="L12" s="511">
        <f>'9'!C13</f>
        <v>0</v>
      </c>
      <c r="M12" s="511">
        <f>'9'!C14</f>
        <v>0</v>
      </c>
      <c r="N12" s="511">
        <f>'9'!C15</f>
        <v>0</v>
      </c>
      <c r="O12" s="511">
        <f>'9'!C16</f>
        <v>0</v>
      </c>
      <c r="P12" s="511">
        <f>'9'!C17</f>
        <v>0</v>
      </c>
      <c r="Q12" s="511">
        <f>'9'!C18</f>
        <v>0</v>
      </c>
      <c r="R12" s="511">
        <f>'9'!C19</f>
        <v>0</v>
      </c>
      <c r="S12" s="511">
        <f>'9'!C20</f>
        <v>0</v>
      </c>
      <c r="T12" s="511">
        <f>'9'!C21</f>
        <v>0</v>
      </c>
      <c r="U12" s="511">
        <f>'9'!C22</f>
        <v>0</v>
      </c>
      <c r="V12" s="511">
        <f>'9'!C23</f>
        <v>0</v>
      </c>
      <c r="W12" s="511">
        <f>'9'!C24</f>
        <v>0</v>
      </c>
      <c r="X12" s="511">
        <f>'9'!C25</f>
        <v>0</v>
      </c>
      <c r="Y12" s="511">
        <f>'9'!C26</f>
        <v>0</v>
      </c>
      <c r="Z12" s="511">
        <f>'9'!C27</f>
        <v>0</v>
      </c>
      <c r="AA12" s="536">
        <f t="shared" si="3"/>
        <v>505</v>
      </c>
      <c r="AB12" s="538"/>
    </row>
    <row r="13" spans="1:28" ht="42.75" customHeight="1">
      <c r="A13" s="553">
        <v>46244</v>
      </c>
      <c r="B13" s="507">
        <f t="shared" si="2"/>
        <v>610</v>
      </c>
      <c r="C13" s="508">
        <f>'10'!C31</f>
        <v>0</v>
      </c>
      <c r="D13" s="509">
        <f t="shared" si="0"/>
        <v>610</v>
      </c>
      <c r="E13" s="510">
        <f t="shared" si="1"/>
        <v>260</v>
      </c>
      <c r="F13" s="511">
        <f>'10'!C6</f>
        <v>200</v>
      </c>
      <c r="G13" s="511">
        <f>'10'!C7</f>
        <v>0</v>
      </c>
      <c r="H13" s="511">
        <f>'10'!C8</f>
        <v>0</v>
      </c>
      <c r="I13" s="511">
        <f>'10'!C9</f>
        <v>150</v>
      </c>
      <c r="J13" s="511">
        <f>'10'!C10</f>
        <v>0</v>
      </c>
      <c r="K13" s="511">
        <f>'10'!C12</f>
        <v>0</v>
      </c>
      <c r="L13" s="511">
        <f>'10'!C13</f>
        <v>0</v>
      </c>
      <c r="M13" s="511">
        <f>'10'!C14</f>
        <v>0</v>
      </c>
      <c r="N13" s="511">
        <f>'10'!C15</f>
        <v>0</v>
      </c>
      <c r="O13" s="511">
        <f>'10'!C16</f>
        <v>0</v>
      </c>
      <c r="P13" s="511">
        <f>'10'!C17</f>
        <v>0</v>
      </c>
      <c r="Q13" s="511">
        <f>'10'!C18</f>
        <v>0</v>
      </c>
      <c r="R13" s="511">
        <f>'10'!C19</f>
        <v>0</v>
      </c>
      <c r="S13" s="511">
        <f>'10'!C20</f>
        <v>0</v>
      </c>
      <c r="T13" s="511">
        <f>'10'!C21</f>
        <v>0</v>
      </c>
      <c r="U13" s="511">
        <f>'10'!C22</f>
        <v>0</v>
      </c>
      <c r="V13" s="511">
        <f>'10'!C23</f>
        <v>0</v>
      </c>
      <c r="W13" s="511">
        <f>'10'!C24</f>
        <v>0</v>
      </c>
      <c r="X13" s="511">
        <f>'10'!C25</f>
        <v>0</v>
      </c>
      <c r="Y13" s="511">
        <f>'10'!C26</f>
        <v>0</v>
      </c>
      <c r="Z13" s="511">
        <f>'10'!C27</f>
        <v>0</v>
      </c>
      <c r="AA13" s="536">
        <f t="shared" si="3"/>
        <v>350</v>
      </c>
      <c r="AB13" s="541"/>
    </row>
    <row r="14" spans="1:28" ht="42.75" customHeight="1">
      <c r="A14" s="553">
        <v>46245</v>
      </c>
      <c r="B14" s="507">
        <f t="shared" si="2"/>
        <v>260</v>
      </c>
      <c r="C14" s="508">
        <f>'11'!C31</f>
        <v>0</v>
      </c>
      <c r="D14" s="509">
        <f t="shared" si="0"/>
        <v>260</v>
      </c>
      <c r="E14" s="510">
        <f t="shared" si="1"/>
        <v>0</v>
      </c>
      <c r="F14" s="511">
        <f>'11'!C6</f>
        <v>0</v>
      </c>
      <c r="G14" s="511">
        <f>'11'!C7</f>
        <v>100</v>
      </c>
      <c r="H14" s="511">
        <f>'11'!C8</f>
        <v>160</v>
      </c>
      <c r="I14" s="511">
        <f>'11'!C9</f>
        <v>0</v>
      </c>
      <c r="J14" s="511">
        <f>'11'!C10</f>
        <v>0</v>
      </c>
      <c r="K14" s="511">
        <f>'11'!C12</f>
        <v>0</v>
      </c>
      <c r="L14" s="511">
        <f>'11'!C13</f>
        <v>0</v>
      </c>
      <c r="M14" s="511">
        <f>'11'!C14</f>
        <v>0</v>
      </c>
      <c r="N14" s="511">
        <f>'11'!C15</f>
        <v>0</v>
      </c>
      <c r="O14" s="511">
        <f>'11'!C16</f>
        <v>0</v>
      </c>
      <c r="P14" s="511">
        <f>'11'!C17</f>
        <v>0</v>
      </c>
      <c r="Q14" s="511">
        <f>'11'!C18</f>
        <v>0</v>
      </c>
      <c r="R14" s="511">
        <f>'11'!C19</f>
        <v>0</v>
      </c>
      <c r="S14" s="511">
        <f>'11'!C20</f>
        <v>0</v>
      </c>
      <c r="T14" s="511">
        <f>'11'!C21</f>
        <v>0</v>
      </c>
      <c r="U14" s="511">
        <f>'11'!C22</f>
        <v>0</v>
      </c>
      <c r="V14" s="511">
        <f>'11'!C23</f>
        <v>0</v>
      </c>
      <c r="W14" s="511">
        <f>'11'!C24</f>
        <v>0</v>
      </c>
      <c r="X14" s="511">
        <f>'11'!C25</f>
        <v>0</v>
      </c>
      <c r="Y14" s="511">
        <f>'11'!C26</f>
        <v>0</v>
      </c>
      <c r="Z14" s="511">
        <f>'11'!C27</f>
        <v>0</v>
      </c>
      <c r="AA14" s="536">
        <f t="shared" si="3"/>
        <v>260</v>
      </c>
      <c r="AB14" s="538"/>
    </row>
    <row r="15" spans="1:28" ht="42.75" customHeight="1">
      <c r="A15" s="553">
        <v>46246</v>
      </c>
      <c r="B15" s="507">
        <f t="shared" si="2"/>
        <v>0</v>
      </c>
      <c r="C15" s="508">
        <f>'12'!C31</f>
        <v>800</v>
      </c>
      <c r="D15" s="509">
        <f t="shared" si="0"/>
        <v>800</v>
      </c>
      <c r="E15" s="510">
        <f t="shared" si="1"/>
        <v>340</v>
      </c>
      <c r="F15" s="511">
        <f>'12'!C6</f>
        <v>200</v>
      </c>
      <c r="G15" s="511">
        <f>'12'!C7</f>
        <v>150</v>
      </c>
      <c r="H15" s="511">
        <f>'12'!C8</f>
        <v>0</v>
      </c>
      <c r="I15" s="511">
        <f>'12'!C9</f>
        <v>110</v>
      </c>
      <c r="J15" s="511">
        <f>'12'!C10</f>
        <v>0</v>
      </c>
      <c r="K15" s="511">
        <f>'12'!C12</f>
        <v>0</v>
      </c>
      <c r="L15" s="511">
        <f>'12'!C13</f>
        <v>0</v>
      </c>
      <c r="M15" s="511">
        <f>'12'!C14</f>
        <v>0</v>
      </c>
      <c r="N15" s="511">
        <f>'12'!C15</f>
        <v>0</v>
      </c>
      <c r="O15" s="511">
        <f>'12'!C16</f>
        <v>0</v>
      </c>
      <c r="P15" s="511">
        <f>'12'!C17</f>
        <v>0</v>
      </c>
      <c r="Q15" s="511">
        <f>'12'!C18</f>
        <v>0</v>
      </c>
      <c r="R15" s="511">
        <f>'12'!C19</f>
        <v>0</v>
      </c>
      <c r="S15" s="511">
        <f>'12'!C20</f>
        <v>0</v>
      </c>
      <c r="T15" s="511">
        <f>'12'!C21</f>
        <v>0</v>
      </c>
      <c r="U15" s="511">
        <f>'12'!C22</f>
        <v>0</v>
      </c>
      <c r="V15" s="511">
        <f>'12'!C23</f>
        <v>0</v>
      </c>
      <c r="W15" s="511">
        <f>'12'!C24</f>
        <v>0</v>
      </c>
      <c r="X15" s="511">
        <f>'12'!C25</f>
        <v>0</v>
      </c>
      <c r="Y15" s="511">
        <f>'12'!C26</f>
        <v>0</v>
      </c>
      <c r="Z15" s="511">
        <f>'12'!C27</f>
        <v>0</v>
      </c>
      <c r="AA15" s="536">
        <f t="shared" si="3"/>
        <v>460</v>
      </c>
      <c r="AB15" s="538"/>
    </row>
    <row r="16" spans="1:28" ht="42.75" customHeight="1">
      <c r="A16" s="553">
        <v>46247</v>
      </c>
      <c r="B16" s="507">
        <f t="shared" si="2"/>
        <v>340</v>
      </c>
      <c r="C16" s="508">
        <f>'13'!C31</f>
        <v>2500</v>
      </c>
      <c r="D16" s="509">
        <f t="shared" si="0"/>
        <v>2840</v>
      </c>
      <c r="E16" s="510">
        <f t="shared" si="1"/>
        <v>2290</v>
      </c>
      <c r="F16" s="511">
        <f>'13'!C6</f>
        <v>280</v>
      </c>
      <c r="G16" s="511">
        <f>'13'!C7</f>
        <v>100</v>
      </c>
      <c r="H16" s="511">
        <f>'13'!C8</f>
        <v>170</v>
      </c>
      <c r="I16" s="511">
        <f>'13'!C9</f>
        <v>0</v>
      </c>
      <c r="J16" s="511">
        <f>'13'!C10</f>
        <v>0</v>
      </c>
      <c r="K16" s="511">
        <f>'13'!C12</f>
        <v>0</v>
      </c>
      <c r="L16" s="511">
        <f>'13'!C13</f>
        <v>0</v>
      </c>
      <c r="M16" s="511">
        <f>'13'!C14</f>
        <v>0</v>
      </c>
      <c r="N16" s="511">
        <f>'13'!C15</f>
        <v>0</v>
      </c>
      <c r="O16" s="511">
        <f>'13'!C16</f>
        <v>0</v>
      </c>
      <c r="P16" s="511">
        <f>'13'!C17</f>
        <v>0</v>
      </c>
      <c r="Q16" s="511">
        <f>'13'!C18</f>
        <v>0</v>
      </c>
      <c r="R16" s="511">
        <f>'13'!C19</f>
        <v>0</v>
      </c>
      <c r="S16" s="511">
        <f>'13'!C20</f>
        <v>0</v>
      </c>
      <c r="T16" s="511">
        <f>'13'!C21</f>
        <v>0</v>
      </c>
      <c r="U16" s="511">
        <f>'13'!C22</f>
        <v>0</v>
      </c>
      <c r="V16" s="511">
        <f>'13'!C23</f>
        <v>0</v>
      </c>
      <c r="W16" s="511">
        <f>'13'!C24</f>
        <v>0</v>
      </c>
      <c r="X16" s="511">
        <f>'13'!C25</f>
        <v>0</v>
      </c>
      <c r="Y16" s="511">
        <f>'13'!C26</f>
        <v>0</v>
      </c>
      <c r="Z16" s="511">
        <f>'13'!C27</f>
        <v>0</v>
      </c>
      <c r="AA16" s="536">
        <f t="shared" si="3"/>
        <v>550</v>
      </c>
      <c r="AB16" s="541"/>
    </row>
    <row r="17" spans="1:29" ht="42.75" customHeight="1">
      <c r="A17" s="553">
        <v>46248</v>
      </c>
      <c r="B17" s="507">
        <f t="shared" si="2"/>
        <v>2290</v>
      </c>
      <c r="C17" s="508">
        <f>'14'!C31</f>
        <v>0</v>
      </c>
      <c r="D17" s="509">
        <f t="shared" si="0"/>
        <v>2290</v>
      </c>
      <c r="E17" s="510">
        <f t="shared" si="1"/>
        <v>2140</v>
      </c>
      <c r="F17" s="511">
        <f>'14'!C6</f>
        <v>0</v>
      </c>
      <c r="G17" s="511">
        <f>'14'!C7</f>
        <v>0</v>
      </c>
      <c r="H17" s="511">
        <f>'14'!C8</f>
        <v>0</v>
      </c>
      <c r="I17" s="511">
        <f>'14'!C9</f>
        <v>150</v>
      </c>
      <c r="J17" s="511">
        <f>'14'!C10</f>
        <v>0</v>
      </c>
      <c r="K17" s="511">
        <f>'14'!C12</f>
        <v>0</v>
      </c>
      <c r="L17" s="511">
        <f>'14'!C13</f>
        <v>0</v>
      </c>
      <c r="M17" s="511">
        <f>'14'!C14</f>
        <v>0</v>
      </c>
      <c r="N17" s="511">
        <f>'14'!C15</f>
        <v>0</v>
      </c>
      <c r="O17" s="511">
        <f>'14'!C16</f>
        <v>0</v>
      </c>
      <c r="P17" s="511">
        <f>'14'!C17</f>
        <v>0</v>
      </c>
      <c r="Q17" s="511">
        <f>'14'!C18</f>
        <v>0</v>
      </c>
      <c r="R17" s="511">
        <f>'14'!C19</f>
        <v>0</v>
      </c>
      <c r="S17" s="511">
        <f>'14'!C20</f>
        <v>0</v>
      </c>
      <c r="T17" s="511">
        <f>'14'!C21</f>
        <v>0</v>
      </c>
      <c r="U17" s="511">
        <f>'14'!C22</f>
        <v>0</v>
      </c>
      <c r="V17" s="511">
        <f>'14'!C23</f>
        <v>0</v>
      </c>
      <c r="W17" s="511">
        <f>'14'!C24</f>
        <v>0</v>
      </c>
      <c r="X17" s="511">
        <f>'14'!C25</f>
        <v>0</v>
      </c>
      <c r="Y17" s="511">
        <f>'14'!C26</f>
        <v>0</v>
      </c>
      <c r="Z17" s="511">
        <f>'14'!C27</f>
        <v>0</v>
      </c>
      <c r="AA17" s="536">
        <f t="shared" si="3"/>
        <v>150</v>
      </c>
      <c r="AB17" s="541"/>
    </row>
    <row r="18" spans="1:29" ht="42.75" customHeight="1" thickBot="1">
      <c r="A18" s="553">
        <v>46249</v>
      </c>
      <c r="B18" s="512">
        <f t="shared" si="2"/>
        <v>2140</v>
      </c>
      <c r="C18" s="513">
        <f>'15'!C31</f>
        <v>0</v>
      </c>
      <c r="D18" s="514">
        <f t="shared" si="0"/>
        <v>2140</v>
      </c>
      <c r="E18" s="515">
        <f t="shared" si="1"/>
        <v>1740</v>
      </c>
      <c r="F18" s="516">
        <f>'15'!C6</f>
        <v>200</v>
      </c>
      <c r="G18" s="516">
        <f>'15'!C7</f>
        <v>50</v>
      </c>
      <c r="H18" s="516">
        <f>'15'!C8</f>
        <v>120</v>
      </c>
      <c r="I18" s="516">
        <f>'15'!C9</f>
        <v>0</v>
      </c>
      <c r="J18" s="516">
        <f>'15'!C10</f>
        <v>0</v>
      </c>
      <c r="K18" s="516">
        <f>'15'!C12</f>
        <v>0</v>
      </c>
      <c r="L18" s="516">
        <f>'15'!C13</f>
        <v>30</v>
      </c>
      <c r="M18" s="516">
        <f>'15'!C14</f>
        <v>0</v>
      </c>
      <c r="N18" s="516">
        <f>'15'!C15</f>
        <v>0</v>
      </c>
      <c r="O18" s="516">
        <f>'15'!C16</f>
        <v>0</v>
      </c>
      <c r="P18" s="516">
        <f>'15'!C17</f>
        <v>0</v>
      </c>
      <c r="Q18" s="516">
        <f>'15'!C18</f>
        <v>0</v>
      </c>
      <c r="R18" s="516">
        <f>'15'!C19</f>
        <v>0</v>
      </c>
      <c r="S18" s="516">
        <f>'15'!C20</f>
        <v>0</v>
      </c>
      <c r="T18" s="516">
        <f>'15'!C21</f>
        <v>0</v>
      </c>
      <c r="U18" s="516">
        <f>'15'!C22</f>
        <v>0</v>
      </c>
      <c r="V18" s="516">
        <f>'15'!C23</f>
        <v>0</v>
      </c>
      <c r="W18" s="516">
        <f>'15'!C24</f>
        <v>0</v>
      </c>
      <c r="X18" s="516">
        <f>'15'!C25</f>
        <v>0</v>
      </c>
      <c r="Y18" s="516">
        <f>'15'!C26</f>
        <v>0</v>
      </c>
      <c r="Z18" s="516">
        <f>'15'!C27</f>
        <v>0</v>
      </c>
      <c r="AA18" s="536">
        <f t="shared" si="3"/>
        <v>400</v>
      </c>
      <c r="AB18" s="539"/>
    </row>
    <row r="19" spans="1:29" ht="42.75" customHeight="1" thickBot="1">
      <c r="A19" s="517" t="s">
        <v>43</v>
      </c>
      <c r="B19" s="518"/>
      <c r="C19" s="519">
        <f>SUM(C4:C18)</f>
        <v>7100</v>
      </c>
      <c r="D19" s="518"/>
      <c r="E19" s="519"/>
      <c r="F19" s="519">
        <f>SUM(F4:F18)</f>
        <v>1800</v>
      </c>
      <c r="G19" s="519">
        <f t="shared" ref="G19:Y19" si="4">SUM(G4:G18)</f>
        <v>1280</v>
      </c>
      <c r="H19" s="519">
        <f t="shared" si="4"/>
        <v>1065</v>
      </c>
      <c r="I19" s="519">
        <f t="shared" si="4"/>
        <v>1275</v>
      </c>
      <c r="J19" s="519">
        <f t="shared" si="4"/>
        <v>0</v>
      </c>
      <c r="K19" s="519">
        <f t="shared" si="4"/>
        <v>0</v>
      </c>
      <c r="L19" s="519">
        <f t="shared" si="4"/>
        <v>30</v>
      </c>
      <c r="M19" s="519">
        <f t="shared" si="4"/>
        <v>0</v>
      </c>
      <c r="N19" s="519">
        <f t="shared" si="4"/>
        <v>0</v>
      </c>
      <c r="O19" s="519">
        <f t="shared" si="4"/>
        <v>0</v>
      </c>
      <c r="P19" s="519">
        <f t="shared" si="4"/>
        <v>10</v>
      </c>
      <c r="Q19" s="519">
        <f t="shared" si="4"/>
        <v>0</v>
      </c>
      <c r="R19" s="519">
        <f t="shared" si="4"/>
        <v>0</v>
      </c>
      <c r="S19" s="519">
        <f t="shared" si="4"/>
        <v>0</v>
      </c>
      <c r="T19" s="519">
        <f t="shared" si="4"/>
        <v>0</v>
      </c>
      <c r="U19" s="519">
        <f t="shared" si="4"/>
        <v>0</v>
      </c>
      <c r="V19" s="519">
        <f t="shared" si="4"/>
        <v>0</v>
      </c>
      <c r="W19" s="519">
        <f t="shared" si="4"/>
        <v>0</v>
      </c>
      <c r="X19" s="519">
        <f t="shared" si="4"/>
        <v>0</v>
      </c>
      <c r="Y19" s="519">
        <f t="shared" si="4"/>
        <v>0</v>
      </c>
      <c r="Z19" s="519">
        <f t="shared" ref="Z19" si="5">SUM(Z4:Z18)</f>
        <v>0</v>
      </c>
      <c r="AA19" s="536">
        <f t="shared" si="3"/>
        <v>5460</v>
      </c>
      <c r="AB19" s="542"/>
    </row>
    <row r="20" spans="1:29" ht="42.75" customHeight="1">
      <c r="A20" s="553">
        <v>46250</v>
      </c>
      <c r="B20" s="502">
        <f>E18</f>
        <v>1740</v>
      </c>
      <c r="C20" s="503">
        <f>'16'!C31</f>
        <v>0</v>
      </c>
      <c r="D20" s="520">
        <f t="shared" si="0"/>
        <v>1740</v>
      </c>
      <c r="E20" s="505">
        <f t="shared" ref="E20:E35" si="6">D20-AA20</f>
        <v>1345</v>
      </c>
      <c r="F20" s="506">
        <f>'16'!C6</f>
        <v>200</v>
      </c>
      <c r="G20" s="506">
        <f>'16'!C7</f>
        <v>0</v>
      </c>
      <c r="H20" s="506">
        <f>'16'!C8</f>
        <v>170</v>
      </c>
      <c r="I20" s="506">
        <f>'16'!C9</f>
        <v>0</v>
      </c>
      <c r="J20" s="506">
        <f>'16'!C10</f>
        <v>0</v>
      </c>
      <c r="K20" s="506">
        <f>'16'!C12</f>
        <v>0</v>
      </c>
      <c r="L20" s="506">
        <f>'16'!C13</f>
        <v>0</v>
      </c>
      <c r="M20" s="506">
        <f>'16'!C14</f>
        <v>0</v>
      </c>
      <c r="N20" s="506">
        <f>'16'!C15</f>
        <v>0</v>
      </c>
      <c r="O20" s="506">
        <f>'16'!C16</f>
        <v>0</v>
      </c>
      <c r="P20" s="506">
        <f>'16'!C17</f>
        <v>25</v>
      </c>
      <c r="Q20" s="506">
        <f>'16'!C18</f>
        <v>0</v>
      </c>
      <c r="R20" s="506">
        <f>'16'!C19</f>
        <v>0</v>
      </c>
      <c r="S20" s="506">
        <f>'16'!C20</f>
        <v>0</v>
      </c>
      <c r="T20" s="506">
        <f>'16'!C21</f>
        <v>0</v>
      </c>
      <c r="U20" s="506">
        <f>'16'!C22</f>
        <v>0</v>
      </c>
      <c r="V20" s="506">
        <f>'16'!C23</f>
        <v>0</v>
      </c>
      <c r="W20" s="506">
        <f>'16'!C24</f>
        <v>0</v>
      </c>
      <c r="X20" s="506">
        <f>'16'!C25</f>
        <v>0</v>
      </c>
      <c r="Y20" s="506">
        <f>'16'!C26</f>
        <v>0</v>
      </c>
      <c r="Z20" s="506">
        <f>'16'!C27</f>
        <v>0</v>
      </c>
      <c r="AA20" s="536">
        <f t="shared" si="3"/>
        <v>395</v>
      </c>
      <c r="AB20" s="543"/>
      <c r="AC20" s="544"/>
    </row>
    <row r="21" spans="1:29" ht="42.75" customHeight="1">
      <c r="A21" s="553">
        <v>46251</v>
      </c>
      <c r="B21" s="507">
        <f>E20</f>
        <v>1345</v>
      </c>
      <c r="C21" s="508">
        <f>'17'!C31</f>
        <v>0</v>
      </c>
      <c r="D21" s="509">
        <f t="shared" si="0"/>
        <v>1345</v>
      </c>
      <c r="E21" s="510">
        <f t="shared" si="6"/>
        <v>855</v>
      </c>
      <c r="F21" s="511">
        <f>'17'!C6</f>
        <v>200</v>
      </c>
      <c r="G21" s="511">
        <f>'17'!C7</f>
        <v>40</v>
      </c>
      <c r="H21" s="511">
        <f>'17'!C8</f>
        <v>170</v>
      </c>
      <c r="I21" s="511">
        <f>'17'!C9</f>
        <v>80</v>
      </c>
      <c r="J21" s="511">
        <f>'17'!C10</f>
        <v>0</v>
      </c>
      <c r="K21" s="511">
        <f>'17'!C12</f>
        <v>0</v>
      </c>
      <c r="L21" s="511">
        <f>'17'!C13</f>
        <v>0</v>
      </c>
      <c r="M21" s="511">
        <f>'17'!C14</f>
        <v>0</v>
      </c>
      <c r="N21" s="511">
        <f>'17'!C15</f>
        <v>0</v>
      </c>
      <c r="O21" s="511">
        <f>'17'!C16</f>
        <v>0</v>
      </c>
      <c r="P21" s="511">
        <f>'17'!C17</f>
        <v>0</v>
      </c>
      <c r="Q21" s="511">
        <f>'17'!C18</f>
        <v>0</v>
      </c>
      <c r="R21" s="511">
        <f>'17'!C19</f>
        <v>0</v>
      </c>
      <c r="S21" s="511">
        <f>'17'!C20</f>
        <v>0</v>
      </c>
      <c r="T21" s="511">
        <f>'17'!C21</f>
        <v>0</v>
      </c>
      <c r="U21" s="511">
        <f>'17'!C22</f>
        <v>0</v>
      </c>
      <c r="V21" s="511">
        <f>'17'!C23</f>
        <v>0</v>
      </c>
      <c r="W21" s="511">
        <f>'17'!C24</f>
        <v>0</v>
      </c>
      <c r="X21" s="511">
        <f>'17'!C25</f>
        <v>0</v>
      </c>
      <c r="Y21" s="511">
        <f>'17'!C26</f>
        <v>0</v>
      </c>
      <c r="Z21" s="511">
        <f>'17'!C27</f>
        <v>0</v>
      </c>
      <c r="AA21" s="536">
        <f t="shared" si="3"/>
        <v>490</v>
      </c>
      <c r="AB21" s="541"/>
    </row>
    <row r="22" spans="1:29" ht="42.75" customHeight="1">
      <c r="A22" s="553">
        <v>46252</v>
      </c>
      <c r="B22" s="507">
        <f t="shared" ref="B22:B35" si="7">E21</f>
        <v>855</v>
      </c>
      <c r="C22" s="508">
        <f>'18'!C31</f>
        <v>0</v>
      </c>
      <c r="D22" s="509">
        <f t="shared" si="0"/>
        <v>855</v>
      </c>
      <c r="E22" s="510">
        <f t="shared" si="6"/>
        <v>615</v>
      </c>
      <c r="F22" s="511">
        <f>'18'!C6</f>
        <v>200</v>
      </c>
      <c r="G22" s="511">
        <f>'18'!C7</f>
        <v>0</v>
      </c>
      <c r="H22" s="511">
        <f>'18'!C8</f>
        <v>0</v>
      </c>
      <c r="I22" s="511">
        <f>'18'!C9</f>
        <v>40</v>
      </c>
      <c r="J22" s="511">
        <f>'18'!C10</f>
        <v>0</v>
      </c>
      <c r="K22" s="511">
        <f>'18'!C12</f>
        <v>0</v>
      </c>
      <c r="L22" s="511">
        <f>'18'!C13</f>
        <v>0</v>
      </c>
      <c r="M22" s="511">
        <f>'18'!C14</f>
        <v>0</v>
      </c>
      <c r="N22" s="511">
        <f>'18'!C15</f>
        <v>0</v>
      </c>
      <c r="O22" s="511">
        <f>'18'!C16</f>
        <v>0</v>
      </c>
      <c r="P22" s="511">
        <f>'18'!C17</f>
        <v>0</v>
      </c>
      <c r="Q22" s="511">
        <f>'18'!C18</f>
        <v>0</v>
      </c>
      <c r="R22" s="511">
        <f>'18'!C19</f>
        <v>0</v>
      </c>
      <c r="S22" s="511">
        <f>'18'!C20</f>
        <v>0</v>
      </c>
      <c r="T22" s="511">
        <f>'18'!C21</f>
        <v>0</v>
      </c>
      <c r="U22" s="511">
        <f>'18'!C22</f>
        <v>0</v>
      </c>
      <c r="V22" s="511">
        <f>'18'!C23</f>
        <v>0</v>
      </c>
      <c r="W22" s="511">
        <f>'18'!C24</f>
        <v>0</v>
      </c>
      <c r="X22" s="511">
        <f>'18'!C25</f>
        <v>0</v>
      </c>
      <c r="Y22" s="511">
        <f>'18'!C26</f>
        <v>0</v>
      </c>
      <c r="Z22" s="511">
        <f>'18'!C27</f>
        <v>0</v>
      </c>
      <c r="AA22" s="536">
        <f t="shared" si="3"/>
        <v>240</v>
      </c>
      <c r="AB22" s="538"/>
    </row>
    <row r="23" spans="1:29" ht="42.75" customHeight="1">
      <c r="A23" s="553">
        <v>46253</v>
      </c>
      <c r="B23" s="507">
        <f t="shared" si="7"/>
        <v>615</v>
      </c>
      <c r="C23" s="508">
        <f>'19'!C31</f>
        <v>0</v>
      </c>
      <c r="D23" s="509">
        <f t="shared" si="0"/>
        <v>615</v>
      </c>
      <c r="E23" s="510">
        <f t="shared" si="6"/>
        <v>90</v>
      </c>
      <c r="F23" s="511">
        <f>'19'!C6</f>
        <v>215</v>
      </c>
      <c r="G23" s="511">
        <f>'19'!C7</f>
        <v>110</v>
      </c>
      <c r="H23" s="511">
        <f>'19'!C8</f>
        <v>120</v>
      </c>
      <c r="I23" s="511">
        <f>'19'!C9</f>
        <v>80</v>
      </c>
      <c r="J23" s="511">
        <f>'19'!C10</f>
        <v>0</v>
      </c>
      <c r="K23" s="511">
        <f>'19'!C12</f>
        <v>0</v>
      </c>
      <c r="L23" s="511">
        <f>'19'!C13</f>
        <v>0</v>
      </c>
      <c r="M23" s="511">
        <f>'19'!C14</f>
        <v>0</v>
      </c>
      <c r="N23" s="511">
        <f>'19'!C15</f>
        <v>0</v>
      </c>
      <c r="O23" s="511">
        <f>'19'!C16</f>
        <v>0</v>
      </c>
      <c r="P23" s="511">
        <f>'19'!C17</f>
        <v>0</v>
      </c>
      <c r="Q23" s="511">
        <f>'19'!C18</f>
        <v>0</v>
      </c>
      <c r="R23" s="511">
        <f>'19'!C19</f>
        <v>0</v>
      </c>
      <c r="S23" s="511">
        <f>'19'!C20</f>
        <v>0</v>
      </c>
      <c r="T23" s="511">
        <f>'19'!C21</f>
        <v>0</v>
      </c>
      <c r="U23" s="511">
        <f>'19'!C22</f>
        <v>0</v>
      </c>
      <c r="V23" s="511">
        <f>'19'!C23</f>
        <v>0</v>
      </c>
      <c r="W23" s="511">
        <f>'19'!C24</f>
        <v>0</v>
      </c>
      <c r="X23" s="511">
        <f>'19'!C25</f>
        <v>0</v>
      </c>
      <c r="Y23" s="511">
        <f>'19'!C26</f>
        <v>0</v>
      </c>
      <c r="Z23" s="511">
        <f>'19'!C27</f>
        <v>0</v>
      </c>
      <c r="AA23" s="536">
        <f t="shared" si="3"/>
        <v>525</v>
      </c>
      <c r="AB23" s="541"/>
    </row>
    <row r="24" spans="1:29" ht="42.75" customHeight="1">
      <c r="A24" s="553">
        <v>46254</v>
      </c>
      <c r="B24" s="507">
        <f t="shared" si="7"/>
        <v>90</v>
      </c>
      <c r="C24" s="508">
        <f>'20'!C31</f>
        <v>800</v>
      </c>
      <c r="D24" s="509">
        <f t="shared" si="0"/>
        <v>890</v>
      </c>
      <c r="E24" s="510">
        <f t="shared" si="6"/>
        <v>535</v>
      </c>
      <c r="F24" s="511">
        <f>'20'!C6</f>
        <v>250</v>
      </c>
      <c r="G24" s="511">
        <f>'20'!C7</f>
        <v>0</v>
      </c>
      <c r="H24" s="511">
        <f>'20'!C8</f>
        <v>70</v>
      </c>
      <c r="I24" s="511">
        <f>'20'!C9</f>
        <v>35</v>
      </c>
      <c r="J24" s="511">
        <f>'20'!C10</f>
        <v>0</v>
      </c>
      <c r="K24" s="511">
        <f>'20'!C12</f>
        <v>0</v>
      </c>
      <c r="L24" s="511">
        <f>'20'!C13</f>
        <v>0</v>
      </c>
      <c r="M24" s="511">
        <f>'20'!C14</f>
        <v>0</v>
      </c>
      <c r="N24" s="511">
        <f>'20'!C15</f>
        <v>0</v>
      </c>
      <c r="O24" s="511">
        <f>'20'!C16</f>
        <v>0</v>
      </c>
      <c r="P24" s="511">
        <f>'20'!C17</f>
        <v>0</v>
      </c>
      <c r="Q24" s="511">
        <f>'20'!C18</f>
        <v>0</v>
      </c>
      <c r="R24" s="511">
        <f>'20'!C19</f>
        <v>0</v>
      </c>
      <c r="S24" s="511">
        <f>'20'!C20</f>
        <v>0</v>
      </c>
      <c r="T24" s="511">
        <f>'20'!C21</f>
        <v>0</v>
      </c>
      <c r="U24" s="511">
        <f>'20'!C22</f>
        <v>0</v>
      </c>
      <c r="V24" s="511">
        <f>'20'!C23</f>
        <v>0</v>
      </c>
      <c r="W24" s="511">
        <f>'20'!C24</f>
        <v>0</v>
      </c>
      <c r="X24" s="511">
        <f>'20'!C25</f>
        <v>0</v>
      </c>
      <c r="Y24" s="511">
        <f>'20'!C26</f>
        <v>0</v>
      </c>
      <c r="Z24" s="511">
        <f>'20'!C27</f>
        <v>0</v>
      </c>
      <c r="AA24" s="536">
        <f t="shared" si="3"/>
        <v>355</v>
      </c>
      <c r="AB24" s="541"/>
    </row>
    <row r="25" spans="1:29" ht="42.75" customHeight="1">
      <c r="A25" s="553">
        <v>46255</v>
      </c>
      <c r="B25" s="507">
        <f t="shared" si="7"/>
        <v>535</v>
      </c>
      <c r="C25" s="508">
        <f>'21'!C31</f>
        <v>0</v>
      </c>
      <c r="D25" s="509">
        <f t="shared" si="0"/>
        <v>535</v>
      </c>
      <c r="E25" s="510">
        <f t="shared" si="6"/>
        <v>535</v>
      </c>
      <c r="F25" s="511">
        <f>'21'!C6</f>
        <v>0</v>
      </c>
      <c r="G25" s="511">
        <f>'21'!C7</f>
        <v>0</v>
      </c>
      <c r="H25" s="511">
        <f>'21'!C8</f>
        <v>0</v>
      </c>
      <c r="I25" s="511">
        <f>'21'!C9</f>
        <v>0</v>
      </c>
      <c r="J25" s="511">
        <f>'21'!C10</f>
        <v>0</v>
      </c>
      <c r="K25" s="511">
        <f>'21'!C12</f>
        <v>0</v>
      </c>
      <c r="L25" s="511">
        <f>'21'!C13</f>
        <v>0</v>
      </c>
      <c r="M25" s="511">
        <f>'21'!C14</f>
        <v>0</v>
      </c>
      <c r="N25" s="511">
        <f>'21'!C15</f>
        <v>0</v>
      </c>
      <c r="O25" s="511">
        <f>'21'!C16</f>
        <v>0</v>
      </c>
      <c r="P25" s="511">
        <f>'21'!C17</f>
        <v>0</v>
      </c>
      <c r="Q25" s="511">
        <f>'21'!C18</f>
        <v>0</v>
      </c>
      <c r="R25" s="511">
        <f>'21'!C19</f>
        <v>0</v>
      </c>
      <c r="S25" s="511">
        <f>'21'!C20</f>
        <v>0</v>
      </c>
      <c r="T25" s="511">
        <f>'21'!C21</f>
        <v>0</v>
      </c>
      <c r="U25" s="511">
        <f>'21'!C22</f>
        <v>0</v>
      </c>
      <c r="V25" s="511">
        <f>'21'!C23</f>
        <v>0</v>
      </c>
      <c r="W25" s="511">
        <f>'21'!C24</f>
        <v>0</v>
      </c>
      <c r="X25" s="511">
        <f>'21'!C25</f>
        <v>0</v>
      </c>
      <c r="Y25" s="511">
        <f>'21'!C26</f>
        <v>0</v>
      </c>
      <c r="Z25" s="511">
        <f>'21'!C27</f>
        <v>0</v>
      </c>
      <c r="AA25" s="536">
        <f t="shared" si="3"/>
        <v>0</v>
      </c>
      <c r="AB25" s="541"/>
    </row>
    <row r="26" spans="1:29" ht="42.75" customHeight="1">
      <c r="A26" s="553">
        <v>46256</v>
      </c>
      <c r="B26" s="507">
        <f t="shared" si="7"/>
        <v>535</v>
      </c>
      <c r="C26" s="508">
        <f>'22'!C31</f>
        <v>0</v>
      </c>
      <c r="D26" s="509">
        <f t="shared" si="0"/>
        <v>535</v>
      </c>
      <c r="E26" s="510">
        <f t="shared" si="6"/>
        <v>535</v>
      </c>
      <c r="F26" s="511">
        <f>'22'!C6</f>
        <v>0</v>
      </c>
      <c r="G26" s="511">
        <f>'22'!C7</f>
        <v>0</v>
      </c>
      <c r="H26" s="511">
        <f>'22'!C8</f>
        <v>0</v>
      </c>
      <c r="I26" s="511">
        <f>'22'!C9</f>
        <v>0</v>
      </c>
      <c r="J26" s="511">
        <f>'22'!C10</f>
        <v>0</v>
      </c>
      <c r="K26" s="511">
        <f>'22'!C12</f>
        <v>0</v>
      </c>
      <c r="L26" s="511">
        <f>'22'!C13</f>
        <v>0</v>
      </c>
      <c r="M26" s="511">
        <f>'22'!C14</f>
        <v>0</v>
      </c>
      <c r="N26" s="511">
        <f>'22'!C15</f>
        <v>0</v>
      </c>
      <c r="O26" s="511">
        <f>'22'!C16</f>
        <v>0</v>
      </c>
      <c r="P26" s="511">
        <f>'22'!C17</f>
        <v>0</v>
      </c>
      <c r="Q26" s="511">
        <f>'22'!C18</f>
        <v>0</v>
      </c>
      <c r="R26" s="511">
        <f>'22'!C19</f>
        <v>0</v>
      </c>
      <c r="S26" s="511">
        <f>'22'!C20</f>
        <v>0</v>
      </c>
      <c r="T26" s="511">
        <f>'22'!C21</f>
        <v>0</v>
      </c>
      <c r="U26" s="511">
        <f>'22'!C22</f>
        <v>0</v>
      </c>
      <c r="V26" s="511">
        <f>'22'!C23</f>
        <v>0</v>
      </c>
      <c r="W26" s="511">
        <f>'22'!C24</f>
        <v>0</v>
      </c>
      <c r="X26" s="511">
        <f>'22'!C25</f>
        <v>0</v>
      </c>
      <c r="Y26" s="511">
        <f>'22'!C26</f>
        <v>0</v>
      </c>
      <c r="Z26" s="511">
        <f>'22'!C27</f>
        <v>0</v>
      </c>
      <c r="AA26" s="536">
        <f t="shared" si="3"/>
        <v>0</v>
      </c>
      <c r="AB26" s="541"/>
    </row>
    <row r="27" spans="1:29" ht="42.75" customHeight="1">
      <c r="A27" s="553">
        <v>46257</v>
      </c>
      <c r="B27" s="507">
        <f t="shared" si="7"/>
        <v>535</v>
      </c>
      <c r="C27" s="508">
        <f>'23'!C31</f>
        <v>0</v>
      </c>
      <c r="D27" s="509">
        <f t="shared" si="0"/>
        <v>535</v>
      </c>
      <c r="E27" s="510">
        <f t="shared" si="6"/>
        <v>535</v>
      </c>
      <c r="F27" s="511">
        <f>'23'!C6</f>
        <v>0</v>
      </c>
      <c r="G27" s="511">
        <f>'23'!C7</f>
        <v>0</v>
      </c>
      <c r="H27" s="511">
        <f>'23'!C8</f>
        <v>0</v>
      </c>
      <c r="I27" s="511">
        <f>'23'!C9</f>
        <v>0</v>
      </c>
      <c r="J27" s="511">
        <f>'23'!C10</f>
        <v>0</v>
      </c>
      <c r="K27" s="511">
        <f>'23'!C12</f>
        <v>0</v>
      </c>
      <c r="L27" s="511">
        <f>'23'!C13</f>
        <v>0</v>
      </c>
      <c r="M27" s="511">
        <f>'23'!C14</f>
        <v>0</v>
      </c>
      <c r="N27" s="511">
        <f>'23'!C15</f>
        <v>0</v>
      </c>
      <c r="O27" s="511">
        <f>'23'!C16</f>
        <v>0</v>
      </c>
      <c r="P27" s="511">
        <f>'23'!C17</f>
        <v>0</v>
      </c>
      <c r="Q27" s="511">
        <f>'23'!C18</f>
        <v>0</v>
      </c>
      <c r="R27" s="511">
        <f>'23'!C19</f>
        <v>0</v>
      </c>
      <c r="S27" s="511">
        <f>'23'!C20</f>
        <v>0</v>
      </c>
      <c r="T27" s="511">
        <f>'23'!C21</f>
        <v>0</v>
      </c>
      <c r="U27" s="511">
        <f>'23'!C22</f>
        <v>0</v>
      </c>
      <c r="V27" s="511">
        <f>'23'!C23</f>
        <v>0</v>
      </c>
      <c r="W27" s="511">
        <f>'23'!C24</f>
        <v>0</v>
      </c>
      <c r="X27" s="511">
        <f>'23'!C25</f>
        <v>0</v>
      </c>
      <c r="Y27" s="511">
        <f>'23'!C26</f>
        <v>0</v>
      </c>
      <c r="Z27" s="511">
        <f>'23'!C27</f>
        <v>0</v>
      </c>
      <c r="AA27" s="536">
        <f t="shared" si="3"/>
        <v>0</v>
      </c>
      <c r="AB27" s="541"/>
    </row>
    <row r="28" spans="1:29" ht="42.75" customHeight="1">
      <c r="A28" s="553">
        <v>46258</v>
      </c>
      <c r="B28" s="507">
        <f t="shared" si="7"/>
        <v>535</v>
      </c>
      <c r="C28" s="508">
        <f>'24'!C31</f>
        <v>0</v>
      </c>
      <c r="D28" s="509">
        <f t="shared" si="0"/>
        <v>535</v>
      </c>
      <c r="E28" s="510">
        <f t="shared" si="6"/>
        <v>535</v>
      </c>
      <c r="F28" s="511">
        <f>'24'!C6</f>
        <v>0</v>
      </c>
      <c r="G28" s="511">
        <f>'24'!C7</f>
        <v>0</v>
      </c>
      <c r="H28" s="511">
        <f>'24'!C8</f>
        <v>0</v>
      </c>
      <c r="I28" s="511">
        <f>'24'!C9</f>
        <v>0</v>
      </c>
      <c r="J28" s="511">
        <f>'24'!C10</f>
        <v>0</v>
      </c>
      <c r="K28" s="511">
        <f>'24'!C12</f>
        <v>0</v>
      </c>
      <c r="L28" s="511">
        <f>'24'!C13</f>
        <v>0</v>
      </c>
      <c r="M28" s="511">
        <f>'24'!C14</f>
        <v>0</v>
      </c>
      <c r="N28" s="511">
        <f>'24'!C15</f>
        <v>0</v>
      </c>
      <c r="O28" s="511">
        <f>'24'!C16</f>
        <v>0</v>
      </c>
      <c r="P28" s="511">
        <f>'24'!C17</f>
        <v>0</v>
      </c>
      <c r="Q28" s="511">
        <f>'24'!C18</f>
        <v>0</v>
      </c>
      <c r="R28" s="511">
        <f>'24'!C19</f>
        <v>0</v>
      </c>
      <c r="S28" s="511">
        <f>'24'!C20</f>
        <v>0</v>
      </c>
      <c r="T28" s="511">
        <f>'24'!C21</f>
        <v>0</v>
      </c>
      <c r="U28" s="511">
        <f>'24'!C22</f>
        <v>0</v>
      </c>
      <c r="V28" s="511">
        <f>'24'!C23</f>
        <v>0</v>
      </c>
      <c r="W28" s="511">
        <f>'24'!C24</f>
        <v>0</v>
      </c>
      <c r="X28" s="511">
        <f>'24'!C25</f>
        <v>0</v>
      </c>
      <c r="Y28" s="511">
        <f>'24'!C26</f>
        <v>0</v>
      </c>
      <c r="Z28" s="511">
        <f>'24'!C27</f>
        <v>0</v>
      </c>
      <c r="AA28" s="536">
        <f t="shared" si="3"/>
        <v>0</v>
      </c>
      <c r="AB28" s="541"/>
    </row>
    <row r="29" spans="1:29" ht="42.75" customHeight="1">
      <c r="A29" s="553">
        <v>46259</v>
      </c>
      <c r="B29" s="507">
        <f t="shared" si="7"/>
        <v>535</v>
      </c>
      <c r="C29" s="508">
        <f>'25'!C31</f>
        <v>0</v>
      </c>
      <c r="D29" s="509">
        <f t="shared" si="0"/>
        <v>535</v>
      </c>
      <c r="E29" s="510">
        <f t="shared" si="6"/>
        <v>535</v>
      </c>
      <c r="F29" s="511">
        <f>'25'!C6</f>
        <v>0</v>
      </c>
      <c r="G29" s="511">
        <f>'25'!C7</f>
        <v>0</v>
      </c>
      <c r="H29" s="511">
        <f>'25'!C8</f>
        <v>0</v>
      </c>
      <c r="I29" s="511">
        <f>'25'!C9</f>
        <v>0</v>
      </c>
      <c r="J29" s="511">
        <f>'25'!C10</f>
        <v>0</v>
      </c>
      <c r="K29" s="511">
        <f>'25'!C12</f>
        <v>0</v>
      </c>
      <c r="L29" s="511">
        <f>'25'!C13</f>
        <v>0</v>
      </c>
      <c r="M29" s="511">
        <f>'25'!C14</f>
        <v>0</v>
      </c>
      <c r="N29" s="511">
        <f>'25'!C15</f>
        <v>0</v>
      </c>
      <c r="O29" s="511">
        <f>'25'!C16</f>
        <v>0</v>
      </c>
      <c r="P29" s="511">
        <f>'25'!C17</f>
        <v>0</v>
      </c>
      <c r="Q29" s="511">
        <f>'25'!C18</f>
        <v>0</v>
      </c>
      <c r="R29" s="511">
        <f>'25'!C19</f>
        <v>0</v>
      </c>
      <c r="S29" s="511">
        <f>'25'!C20</f>
        <v>0</v>
      </c>
      <c r="T29" s="511">
        <f>'25'!C21</f>
        <v>0</v>
      </c>
      <c r="U29" s="511">
        <f>'25'!C22</f>
        <v>0</v>
      </c>
      <c r="V29" s="511">
        <f>'25'!C23</f>
        <v>0</v>
      </c>
      <c r="W29" s="511">
        <f>'25'!C24</f>
        <v>0</v>
      </c>
      <c r="X29" s="511">
        <f>'25'!C25</f>
        <v>0</v>
      </c>
      <c r="Y29" s="511">
        <f>'25'!C26</f>
        <v>0</v>
      </c>
      <c r="Z29" s="511">
        <f>'25'!C27</f>
        <v>0</v>
      </c>
      <c r="AA29" s="536">
        <f t="shared" si="3"/>
        <v>0</v>
      </c>
      <c r="AB29" s="541"/>
    </row>
    <row r="30" spans="1:29" ht="42.75" customHeight="1">
      <c r="A30" s="553">
        <v>46260</v>
      </c>
      <c r="B30" s="507">
        <f t="shared" si="7"/>
        <v>535</v>
      </c>
      <c r="C30" s="508">
        <f>'26'!C31</f>
        <v>0</v>
      </c>
      <c r="D30" s="509">
        <f t="shared" si="0"/>
        <v>535</v>
      </c>
      <c r="E30" s="510">
        <f t="shared" si="6"/>
        <v>535</v>
      </c>
      <c r="F30" s="511">
        <f>'26'!C6</f>
        <v>0</v>
      </c>
      <c r="G30" s="511">
        <f>'26'!C7</f>
        <v>0</v>
      </c>
      <c r="H30" s="511">
        <f>'26'!C8</f>
        <v>0</v>
      </c>
      <c r="I30" s="511">
        <f>'26'!C9</f>
        <v>0</v>
      </c>
      <c r="J30" s="511">
        <f>'26'!C10</f>
        <v>0</v>
      </c>
      <c r="K30" s="511">
        <f>'26'!C12</f>
        <v>0</v>
      </c>
      <c r="L30" s="511">
        <f>'26'!C13</f>
        <v>0</v>
      </c>
      <c r="M30" s="511">
        <f>'26'!C14</f>
        <v>0</v>
      </c>
      <c r="N30" s="511">
        <f>'26'!C15</f>
        <v>0</v>
      </c>
      <c r="O30" s="511">
        <f>'26'!C16</f>
        <v>0</v>
      </c>
      <c r="P30" s="511">
        <f>'26'!C17</f>
        <v>0</v>
      </c>
      <c r="Q30" s="511">
        <f>'26'!C18</f>
        <v>0</v>
      </c>
      <c r="R30" s="511">
        <f>'26'!C19</f>
        <v>0</v>
      </c>
      <c r="S30" s="511">
        <f>'26'!C20</f>
        <v>0</v>
      </c>
      <c r="T30" s="511">
        <f>'26'!C21</f>
        <v>0</v>
      </c>
      <c r="U30" s="511">
        <f>'26'!C22</f>
        <v>0</v>
      </c>
      <c r="V30" s="511">
        <f>'26'!C23</f>
        <v>0</v>
      </c>
      <c r="W30" s="511">
        <f>'26'!C24</f>
        <v>0</v>
      </c>
      <c r="X30" s="511">
        <f>'26'!C25</f>
        <v>0</v>
      </c>
      <c r="Y30" s="511">
        <f>'26'!C26</f>
        <v>0</v>
      </c>
      <c r="Z30" s="511">
        <f>'26'!C27</f>
        <v>0</v>
      </c>
      <c r="AA30" s="536">
        <f t="shared" si="3"/>
        <v>0</v>
      </c>
      <c r="AB30" s="541"/>
    </row>
    <row r="31" spans="1:29" ht="42.75" customHeight="1">
      <c r="A31" s="553">
        <v>46261</v>
      </c>
      <c r="B31" s="507">
        <f t="shared" si="7"/>
        <v>535</v>
      </c>
      <c r="C31" s="508">
        <f>'27'!C31</f>
        <v>0</v>
      </c>
      <c r="D31" s="509">
        <f t="shared" si="0"/>
        <v>535</v>
      </c>
      <c r="E31" s="510">
        <f t="shared" si="6"/>
        <v>535</v>
      </c>
      <c r="F31" s="511">
        <f>'27'!C6</f>
        <v>0</v>
      </c>
      <c r="G31" s="511">
        <f>'27'!C7</f>
        <v>0</v>
      </c>
      <c r="H31" s="511">
        <f>'27'!C8</f>
        <v>0</v>
      </c>
      <c r="I31" s="511">
        <f>'27'!C9</f>
        <v>0</v>
      </c>
      <c r="J31" s="511">
        <f>'27'!C10</f>
        <v>0</v>
      </c>
      <c r="K31" s="511">
        <f>'27'!C12</f>
        <v>0</v>
      </c>
      <c r="L31" s="511">
        <f>'27'!C13</f>
        <v>0</v>
      </c>
      <c r="M31" s="511">
        <f>'27'!C14</f>
        <v>0</v>
      </c>
      <c r="N31" s="511">
        <f>'27'!C15</f>
        <v>0</v>
      </c>
      <c r="O31" s="511">
        <f>'27'!C16</f>
        <v>0</v>
      </c>
      <c r="P31" s="511">
        <f>'27'!C17</f>
        <v>0</v>
      </c>
      <c r="Q31" s="511">
        <f>'27'!C18</f>
        <v>0</v>
      </c>
      <c r="R31" s="511">
        <f>'27'!C19</f>
        <v>0</v>
      </c>
      <c r="S31" s="511">
        <f>'27'!C20</f>
        <v>0</v>
      </c>
      <c r="T31" s="511">
        <f>'27'!C21</f>
        <v>0</v>
      </c>
      <c r="U31" s="511">
        <f>'27'!C22</f>
        <v>0</v>
      </c>
      <c r="V31" s="511">
        <f>'27'!C23</f>
        <v>0</v>
      </c>
      <c r="W31" s="511">
        <f>'27'!C24</f>
        <v>0</v>
      </c>
      <c r="X31" s="511">
        <f>'27'!C25</f>
        <v>0</v>
      </c>
      <c r="Y31" s="511">
        <f>'27'!C26</f>
        <v>0</v>
      </c>
      <c r="Z31" s="511">
        <f>'27'!C27</f>
        <v>0</v>
      </c>
      <c r="AA31" s="536">
        <f t="shared" si="3"/>
        <v>0</v>
      </c>
      <c r="AB31" s="538"/>
    </row>
    <row r="32" spans="1:29" ht="42.75" customHeight="1">
      <c r="A32" s="553">
        <v>46262</v>
      </c>
      <c r="B32" s="507">
        <f t="shared" si="7"/>
        <v>535</v>
      </c>
      <c r="C32" s="508">
        <f>'28'!C31</f>
        <v>0</v>
      </c>
      <c r="D32" s="509">
        <f t="shared" si="0"/>
        <v>535</v>
      </c>
      <c r="E32" s="510">
        <f t="shared" si="6"/>
        <v>535</v>
      </c>
      <c r="F32" s="511">
        <f>'28'!C6</f>
        <v>0</v>
      </c>
      <c r="G32" s="511">
        <f>'28'!C7</f>
        <v>0</v>
      </c>
      <c r="H32" s="511">
        <f>'28'!C8</f>
        <v>0</v>
      </c>
      <c r="I32" s="511">
        <f>'28'!C9</f>
        <v>0</v>
      </c>
      <c r="J32" s="511">
        <f>'28'!C10</f>
        <v>0</v>
      </c>
      <c r="K32" s="511">
        <f>'28'!C12</f>
        <v>0</v>
      </c>
      <c r="L32" s="511">
        <f>'28'!C13</f>
        <v>0</v>
      </c>
      <c r="M32" s="511">
        <f>'28'!C14</f>
        <v>0</v>
      </c>
      <c r="N32" s="511">
        <f>'28'!C15</f>
        <v>0</v>
      </c>
      <c r="O32" s="511">
        <f>'28'!C16</f>
        <v>0</v>
      </c>
      <c r="P32" s="511">
        <f>'28'!C17</f>
        <v>0</v>
      </c>
      <c r="Q32" s="511">
        <f>'28'!C18</f>
        <v>0</v>
      </c>
      <c r="R32" s="511">
        <f>'28'!C19</f>
        <v>0</v>
      </c>
      <c r="S32" s="511">
        <f>'28'!C20</f>
        <v>0</v>
      </c>
      <c r="T32" s="511">
        <f>'28'!C21</f>
        <v>0</v>
      </c>
      <c r="U32" s="511">
        <f>'28'!C22</f>
        <v>0</v>
      </c>
      <c r="V32" s="511">
        <f>'28'!C23</f>
        <v>0</v>
      </c>
      <c r="W32" s="511">
        <f>'28'!C24</f>
        <v>0</v>
      </c>
      <c r="X32" s="511">
        <f>'28'!C25</f>
        <v>0</v>
      </c>
      <c r="Y32" s="511">
        <f>'28'!C26</f>
        <v>0</v>
      </c>
      <c r="Z32" s="511">
        <f>'28'!C27</f>
        <v>0</v>
      </c>
      <c r="AA32" s="536">
        <f t="shared" si="3"/>
        <v>0</v>
      </c>
      <c r="AB32" s="538"/>
    </row>
    <row r="33" spans="1:28" ht="42.75" customHeight="1">
      <c r="A33" s="553">
        <v>46263</v>
      </c>
      <c r="B33" s="507">
        <f t="shared" si="7"/>
        <v>535</v>
      </c>
      <c r="C33" s="508">
        <f>'29'!C31</f>
        <v>0</v>
      </c>
      <c r="D33" s="509">
        <f t="shared" si="0"/>
        <v>535</v>
      </c>
      <c r="E33" s="510">
        <f t="shared" si="6"/>
        <v>535</v>
      </c>
      <c r="F33" s="511">
        <f>'29'!C6</f>
        <v>0</v>
      </c>
      <c r="G33" s="511">
        <f>'29'!C7</f>
        <v>0</v>
      </c>
      <c r="H33" s="511">
        <f>'29'!C8</f>
        <v>0</v>
      </c>
      <c r="I33" s="511">
        <f>'29'!C9</f>
        <v>0</v>
      </c>
      <c r="J33" s="511">
        <f>'29'!C10</f>
        <v>0</v>
      </c>
      <c r="K33" s="511">
        <f>'29'!C12</f>
        <v>0</v>
      </c>
      <c r="L33" s="511">
        <f>'29'!C13</f>
        <v>0</v>
      </c>
      <c r="M33" s="511">
        <f>'29'!C14</f>
        <v>0</v>
      </c>
      <c r="N33" s="511">
        <f>'29'!C15</f>
        <v>0</v>
      </c>
      <c r="O33" s="511">
        <f>'29'!C16</f>
        <v>0</v>
      </c>
      <c r="P33" s="511">
        <f>'29'!C17</f>
        <v>0</v>
      </c>
      <c r="Q33" s="511">
        <f>'29'!C18</f>
        <v>0</v>
      </c>
      <c r="R33" s="511">
        <f>'29'!C19</f>
        <v>0</v>
      </c>
      <c r="S33" s="511">
        <f>'29'!C20</f>
        <v>0</v>
      </c>
      <c r="T33" s="511">
        <f>'29'!C21</f>
        <v>0</v>
      </c>
      <c r="U33" s="511">
        <f>'29'!C22</f>
        <v>0</v>
      </c>
      <c r="V33" s="511">
        <f>'29'!C23</f>
        <v>0</v>
      </c>
      <c r="W33" s="511">
        <f>'29'!C24</f>
        <v>0</v>
      </c>
      <c r="X33" s="511">
        <f>'29'!C25</f>
        <v>0</v>
      </c>
      <c r="Y33" s="511">
        <f>'29'!C26</f>
        <v>0</v>
      </c>
      <c r="Z33" s="511">
        <f>'29'!C27</f>
        <v>0</v>
      </c>
      <c r="AA33" s="536">
        <f t="shared" si="3"/>
        <v>0</v>
      </c>
      <c r="AB33" s="541"/>
    </row>
    <row r="34" spans="1:28" ht="42.75" customHeight="1">
      <c r="A34" s="553">
        <v>46264</v>
      </c>
      <c r="B34" s="507">
        <f t="shared" si="7"/>
        <v>535</v>
      </c>
      <c r="C34" s="508">
        <f>'30'!C31</f>
        <v>0</v>
      </c>
      <c r="D34" s="509">
        <f t="shared" si="0"/>
        <v>535</v>
      </c>
      <c r="E34" s="510">
        <f t="shared" si="6"/>
        <v>535</v>
      </c>
      <c r="F34" s="511">
        <f>'30'!C6</f>
        <v>0</v>
      </c>
      <c r="G34" s="511">
        <f>'30'!C7</f>
        <v>0</v>
      </c>
      <c r="H34" s="511">
        <f>'30'!C8</f>
        <v>0</v>
      </c>
      <c r="I34" s="511">
        <f>'30'!C9</f>
        <v>0</v>
      </c>
      <c r="J34" s="511">
        <f>'30'!C10</f>
        <v>0</v>
      </c>
      <c r="K34" s="511">
        <f>'30'!C12</f>
        <v>0</v>
      </c>
      <c r="L34" s="511">
        <f>'30'!C13</f>
        <v>0</v>
      </c>
      <c r="M34" s="511">
        <f>'30'!C14</f>
        <v>0</v>
      </c>
      <c r="N34" s="511">
        <f>'30'!C15</f>
        <v>0</v>
      </c>
      <c r="O34" s="511">
        <f>'30'!C16</f>
        <v>0</v>
      </c>
      <c r="P34" s="511">
        <f>'30'!C17</f>
        <v>0</v>
      </c>
      <c r="Q34" s="511">
        <f>'30'!C18</f>
        <v>0</v>
      </c>
      <c r="R34" s="511">
        <f>'30'!C19</f>
        <v>0</v>
      </c>
      <c r="S34" s="511">
        <f>'30'!C20</f>
        <v>0</v>
      </c>
      <c r="T34" s="511">
        <f>'30'!C21</f>
        <v>0</v>
      </c>
      <c r="U34" s="511">
        <f>'30'!C22</f>
        <v>0</v>
      </c>
      <c r="V34" s="511">
        <f>'30'!C23</f>
        <v>0</v>
      </c>
      <c r="W34" s="511">
        <f>'30'!C24</f>
        <v>0</v>
      </c>
      <c r="X34" s="511">
        <f>'30'!C25</f>
        <v>0</v>
      </c>
      <c r="Y34" s="511">
        <f>'30'!C26</f>
        <v>0</v>
      </c>
      <c r="Z34" s="511">
        <f>'30'!C27</f>
        <v>0</v>
      </c>
      <c r="AA34" s="536">
        <f t="shared" si="3"/>
        <v>0</v>
      </c>
      <c r="AB34" s="538"/>
    </row>
    <row r="35" spans="1:28" ht="42.75" customHeight="1" thickBot="1">
      <c r="A35" s="553">
        <v>46265</v>
      </c>
      <c r="B35" s="512">
        <f t="shared" si="7"/>
        <v>535</v>
      </c>
      <c r="C35" s="513">
        <f>'31'!C30</f>
        <v>0</v>
      </c>
      <c r="D35" s="514">
        <f t="shared" si="0"/>
        <v>535</v>
      </c>
      <c r="E35" s="515">
        <f t="shared" si="6"/>
        <v>535</v>
      </c>
      <c r="F35" s="516">
        <f>'31'!C6</f>
        <v>0</v>
      </c>
      <c r="G35" s="516">
        <f>'31'!C7</f>
        <v>0</v>
      </c>
      <c r="H35" s="516">
        <f>'31'!C8</f>
        <v>0</v>
      </c>
      <c r="I35" s="516">
        <f>'31'!C9</f>
        <v>0</v>
      </c>
      <c r="J35" s="516">
        <f>'31'!C10</f>
        <v>0</v>
      </c>
      <c r="K35" s="516">
        <f>'31'!C11</f>
        <v>0</v>
      </c>
      <c r="L35" s="516">
        <f>'31'!C12</f>
        <v>0</v>
      </c>
      <c r="M35" s="516">
        <f>'31'!C13</f>
        <v>0</v>
      </c>
      <c r="N35" s="516">
        <f>'31'!C14</f>
        <v>0</v>
      </c>
      <c r="O35" s="516">
        <f>'31'!C15</f>
        <v>0</v>
      </c>
      <c r="P35" s="516">
        <f>'31'!C16</f>
        <v>0</v>
      </c>
      <c r="Q35" s="516">
        <f>'31'!C17</f>
        <v>0</v>
      </c>
      <c r="R35" s="516">
        <f>'31'!C18</f>
        <v>0</v>
      </c>
      <c r="S35" s="516">
        <f>'31'!C19</f>
        <v>0</v>
      </c>
      <c r="T35" s="516">
        <f>'31'!C20</f>
        <v>0</v>
      </c>
      <c r="U35" s="516">
        <f>'31'!C21</f>
        <v>0</v>
      </c>
      <c r="V35" s="516">
        <f>'31'!C22</f>
        <v>0</v>
      </c>
      <c r="W35" s="516">
        <f>'31'!C23</f>
        <v>0</v>
      </c>
      <c r="X35" s="516">
        <f>'31'!C24</f>
        <v>0</v>
      </c>
      <c r="Y35" s="516">
        <f>'31'!C25</f>
        <v>0</v>
      </c>
      <c r="Z35" s="516">
        <f>'31'!C26</f>
        <v>0</v>
      </c>
      <c r="AA35" s="536">
        <f t="shared" si="3"/>
        <v>0</v>
      </c>
      <c r="AB35" s="545"/>
    </row>
    <row r="36" spans="1:28" ht="42.75" customHeight="1" thickBot="1">
      <c r="A36" s="521" t="s">
        <v>43</v>
      </c>
      <c r="B36" s="522"/>
      <c r="C36" s="523">
        <f>SUM(C20:C35)</f>
        <v>800</v>
      </c>
      <c r="D36" s="523"/>
      <c r="E36" s="523"/>
      <c r="F36" s="523">
        <f t="shared" ref="F36:AB36" si="8">SUM(F20:F35)</f>
        <v>1065</v>
      </c>
      <c r="G36" s="523">
        <f t="shared" si="8"/>
        <v>150</v>
      </c>
      <c r="H36" s="523">
        <f t="shared" si="8"/>
        <v>530</v>
      </c>
      <c r="I36" s="523">
        <f t="shared" si="8"/>
        <v>235</v>
      </c>
      <c r="J36" s="523">
        <f t="shared" si="8"/>
        <v>0</v>
      </c>
      <c r="K36" s="523">
        <f t="shared" si="8"/>
        <v>0</v>
      </c>
      <c r="L36" s="527">
        <f t="shared" si="8"/>
        <v>0</v>
      </c>
      <c r="M36" s="523">
        <f t="shared" si="8"/>
        <v>0</v>
      </c>
      <c r="N36" s="528">
        <f t="shared" si="8"/>
        <v>0</v>
      </c>
      <c r="O36" s="523">
        <f t="shared" si="8"/>
        <v>0</v>
      </c>
      <c r="P36" s="523">
        <f t="shared" si="8"/>
        <v>25</v>
      </c>
      <c r="Q36" s="523">
        <f t="shared" si="8"/>
        <v>0</v>
      </c>
      <c r="R36" s="523">
        <f t="shared" si="8"/>
        <v>0</v>
      </c>
      <c r="S36" s="523">
        <f t="shared" si="8"/>
        <v>0</v>
      </c>
      <c r="T36" s="523">
        <f t="shared" si="8"/>
        <v>0</v>
      </c>
      <c r="U36" s="523">
        <f t="shared" si="8"/>
        <v>0</v>
      </c>
      <c r="V36" s="523">
        <f t="shared" si="8"/>
        <v>0</v>
      </c>
      <c r="W36" s="523">
        <f t="shared" si="8"/>
        <v>0</v>
      </c>
      <c r="X36" s="523">
        <f t="shared" si="8"/>
        <v>0</v>
      </c>
      <c r="Y36" s="523">
        <f t="shared" si="8"/>
        <v>0</v>
      </c>
      <c r="Z36" s="523">
        <f t="shared" ref="Z36" si="9">SUM(Z20:Z35)</f>
        <v>0</v>
      </c>
      <c r="AA36" s="536">
        <f t="shared" si="3"/>
        <v>2005</v>
      </c>
      <c r="AB36" s="528">
        <f t="shared" si="8"/>
        <v>0</v>
      </c>
    </row>
    <row r="37" spans="1:28" ht="42.75" customHeight="1" thickBot="1">
      <c r="A37" s="524" t="s">
        <v>44</v>
      </c>
      <c r="B37" s="525"/>
      <c r="C37" s="526">
        <f>SUM(C36,C19)</f>
        <v>7900</v>
      </c>
      <c r="D37" s="526"/>
      <c r="E37" s="526"/>
      <c r="F37" s="526">
        <f t="shared" ref="F37:AB37" si="10">SUM(F36,F19)</f>
        <v>2865</v>
      </c>
      <c r="G37" s="526">
        <f t="shared" si="10"/>
        <v>1430</v>
      </c>
      <c r="H37" s="526">
        <f t="shared" si="10"/>
        <v>1595</v>
      </c>
      <c r="I37" s="526">
        <f t="shared" si="10"/>
        <v>1510</v>
      </c>
      <c r="J37" s="526">
        <f t="shared" si="10"/>
        <v>0</v>
      </c>
      <c r="K37" s="526">
        <f t="shared" si="10"/>
        <v>0</v>
      </c>
      <c r="L37" s="529">
        <f t="shared" si="10"/>
        <v>30</v>
      </c>
      <c r="M37" s="526">
        <f t="shared" si="10"/>
        <v>0</v>
      </c>
      <c r="N37" s="530">
        <f t="shared" si="10"/>
        <v>0</v>
      </c>
      <c r="O37" s="526">
        <f t="shared" si="10"/>
        <v>0</v>
      </c>
      <c r="P37" s="526">
        <f t="shared" si="10"/>
        <v>35</v>
      </c>
      <c r="Q37" s="526">
        <f t="shared" si="10"/>
        <v>0</v>
      </c>
      <c r="R37" s="526">
        <f t="shared" si="10"/>
        <v>0</v>
      </c>
      <c r="S37" s="526">
        <f t="shared" si="10"/>
        <v>0</v>
      </c>
      <c r="T37" s="526">
        <f t="shared" si="10"/>
        <v>0</v>
      </c>
      <c r="U37" s="526">
        <f t="shared" si="10"/>
        <v>0</v>
      </c>
      <c r="V37" s="526">
        <f t="shared" si="10"/>
        <v>0</v>
      </c>
      <c r="W37" s="526">
        <f t="shared" si="10"/>
        <v>0</v>
      </c>
      <c r="X37" s="526">
        <f t="shared" si="10"/>
        <v>0</v>
      </c>
      <c r="Y37" s="526">
        <f t="shared" si="10"/>
        <v>0</v>
      </c>
      <c r="Z37" s="526">
        <f t="shared" ref="Z37" si="11">SUM(Z36,Z19)</f>
        <v>0</v>
      </c>
      <c r="AA37" s="526">
        <f>AA19+AA36</f>
        <v>7465</v>
      </c>
      <c r="AB37" s="530">
        <f t="shared" si="10"/>
        <v>0</v>
      </c>
    </row>
  </sheetData>
  <sheetProtection sheet="1" objects="1" scenarios="1" formatCells="0" formatColumns="0" formatRows="0" insertColumns="0" insertRows="0"/>
  <mergeCells count="7">
    <mergeCell ref="A1:AB1"/>
    <mergeCell ref="A2:J2"/>
    <mergeCell ref="K2:L2"/>
    <mergeCell ref="M2:N2"/>
    <mergeCell ref="O2:P2"/>
    <mergeCell ref="Q2:R2"/>
    <mergeCell ref="S2:AB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N36"/>
  <sheetViews>
    <sheetView zoomScale="55" zoomScaleNormal="55" workbookViewId="0">
      <selection activeCell="G12" sqref="G12"/>
    </sheetView>
  </sheetViews>
  <sheetFormatPr defaultColWidth="9" defaultRowHeight="23.25"/>
  <cols>
    <col min="1" max="1" width="17.5703125" style="722" customWidth="1"/>
    <col min="2" max="2" width="17.42578125" style="405" customWidth="1"/>
    <col min="3" max="3" width="16" style="405" customWidth="1"/>
    <col min="4" max="5" width="23.7109375" style="405" customWidth="1"/>
    <col min="6" max="6" width="24.140625" style="405" customWidth="1"/>
    <col min="7" max="7" width="29.5703125" style="405" customWidth="1"/>
    <col min="8" max="8" width="15.140625" style="406" customWidth="1"/>
    <col min="9" max="9" width="16.7109375" style="405" customWidth="1"/>
    <col min="10" max="10" width="34.5703125" style="405" customWidth="1"/>
    <col min="11" max="11" width="28.5703125" style="405" customWidth="1"/>
    <col min="12" max="12" width="37.7109375" style="405" customWidth="1"/>
    <col min="13" max="13" width="9" style="406"/>
    <col min="14" max="16384" width="9" style="405"/>
  </cols>
  <sheetData>
    <row r="1" spans="1:14" ht="31.5">
      <c r="A1" s="816" t="s">
        <v>94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8"/>
      <c r="M1" s="422"/>
      <c r="N1" s="423"/>
    </row>
    <row r="2" spans="1:14" ht="48" customHeight="1">
      <c r="A2" s="819" t="s">
        <v>95</v>
      </c>
      <c r="B2" s="820"/>
      <c r="C2" s="820"/>
      <c r="D2" s="820"/>
      <c r="E2" s="820"/>
      <c r="F2" s="820"/>
      <c r="G2" s="820"/>
      <c r="H2" s="820"/>
      <c r="I2" s="820"/>
      <c r="J2" s="820"/>
      <c r="K2" s="820"/>
      <c r="L2" s="821"/>
      <c r="N2" s="424"/>
    </row>
    <row r="3" spans="1:14" ht="31.5" customHeight="1">
      <c r="A3" s="822"/>
      <c r="B3" s="823"/>
      <c r="C3" s="823"/>
      <c r="D3" s="824"/>
      <c r="E3" s="822" t="s">
        <v>96</v>
      </c>
      <c r="F3" s="824"/>
      <c r="G3" s="825"/>
      <c r="H3" s="826"/>
      <c r="I3" s="425"/>
      <c r="J3" s="426" t="s">
        <v>97</v>
      </c>
      <c r="K3" s="427"/>
      <c r="L3" s="428"/>
      <c r="M3" s="429"/>
    </row>
    <row r="4" spans="1:14" ht="50.25" customHeight="1">
      <c r="A4" s="812" t="s">
        <v>12</v>
      </c>
      <c r="B4" s="806" t="s">
        <v>98</v>
      </c>
      <c r="C4" s="807"/>
      <c r="D4" s="807"/>
      <c r="E4" s="807"/>
      <c r="F4" s="808"/>
      <c r="G4" s="814" t="s">
        <v>12</v>
      </c>
      <c r="H4" s="809" t="s">
        <v>99</v>
      </c>
      <c r="I4" s="810"/>
      <c r="J4" s="810"/>
      <c r="K4" s="810"/>
      <c r="L4" s="811"/>
    </row>
    <row r="5" spans="1:14" ht="36" customHeight="1">
      <c r="A5" s="813"/>
      <c r="B5" s="407" t="s">
        <v>100</v>
      </c>
      <c r="C5" s="407" t="s">
        <v>101</v>
      </c>
      <c r="D5" s="407" t="s">
        <v>102</v>
      </c>
      <c r="E5" s="407" t="s">
        <v>103</v>
      </c>
      <c r="F5" s="407" t="s">
        <v>42</v>
      </c>
      <c r="G5" s="815"/>
      <c r="H5" s="408" t="s">
        <v>100</v>
      </c>
      <c r="I5" s="408" t="s">
        <v>104</v>
      </c>
      <c r="J5" s="408" t="s">
        <v>102</v>
      </c>
      <c r="K5" s="408" t="s">
        <v>103</v>
      </c>
      <c r="L5" s="408" t="s">
        <v>42</v>
      </c>
      <c r="M5" s="430"/>
    </row>
    <row r="6" spans="1:14">
      <c r="A6" s="721">
        <v>46174</v>
      </c>
      <c r="B6" s="410"/>
      <c r="C6" s="411"/>
      <c r="D6" s="411"/>
      <c r="E6" s="412">
        <f>B6+C6-D6</f>
        <v>0</v>
      </c>
      <c r="F6" s="413"/>
      <c r="G6" s="723">
        <v>46174</v>
      </c>
      <c r="H6" s="410"/>
      <c r="I6" s="411"/>
      <c r="J6" s="411"/>
      <c r="K6" s="412">
        <f>H6+I6-J6</f>
        <v>0</v>
      </c>
      <c r="L6" s="413"/>
    </row>
    <row r="7" spans="1:14">
      <c r="A7" s="721">
        <v>46175</v>
      </c>
      <c r="B7" s="414">
        <f>E6</f>
        <v>0</v>
      </c>
      <c r="C7" s="411"/>
      <c r="D7" s="411"/>
      <c r="E7" s="412">
        <f t="shared" ref="E7:E36" si="0">B7+C7-D7</f>
        <v>0</v>
      </c>
      <c r="F7" s="415"/>
      <c r="G7" s="723">
        <v>46175</v>
      </c>
      <c r="H7" s="414">
        <f>K6</f>
        <v>0</v>
      </c>
      <c r="I7" s="411"/>
      <c r="J7" s="411"/>
      <c r="K7" s="431">
        <f t="shared" ref="K7:K36" si="1">H7+I7-J7</f>
        <v>0</v>
      </c>
      <c r="L7" s="416"/>
    </row>
    <row r="8" spans="1:14">
      <c r="A8" s="721">
        <v>46176</v>
      </c>
      <c r="B8" s="414">
        <f t="shared" ref="B8:B36" si="2">E7</f>
        <v>0</v>
      </c>
      <c r="C8" s="411"/>
      <c r="D8" s="411"/>
      <c r="E8" s="412">
        <f t="shared" si="0"/>
        <v>0</v>
      </c>
      <c r="F8" s="415"/>
      <c r="G8" s="723">
        <v>46176</v>
      </c>
      <c r="H8" s="414">
        <f t="shared" ref="H8:H36" si="3">K7</f>
        <v>0</v>
      </c>
      <c r="I8" s="411"/>
      <c r="J8" s="411"/>
      <c r="K8" s="431">
        <f t="shared" si="1"/>
        <v>0</v>
      </c>
      <c r="L8" s="415"/>
    </row>
    <row r="9" spans="1:14">
      <c r="A9" s="721">
        <v>46177</v>
      </c>
      <c r="B9" s="414">
        <f t="shared" si="2"/>
        <v>0</v>
      </c>
      <c r="C9" s="411"/>
      <c r="D9" s="411"/>
      <c r="E9" s="412">
        <f t="shared" si="0"/>
        <v>0</v>
      </c>
      <c r="F9" s="416"/>
      <c r="G9" s="723">
        <v>46177</v>
      </c>
      <c r="H9" s="414">
        <f t="shared" si="3"/>
        <v>0</v>
      </c>
      <c r="I9" s="411"/>
      <c r="J9" s="411"/>
      <c r="K9" s="431">
        <f t="shared" si="1"/>
        <v>0</v>
      </c>
      <c r="L9" s="415"/>
    </row>
    <row r="10" spans="1:14">
      <c r="A10" s="721">
        <v>46178</v>
      </c>
      <c r="B10" s="414">
        <f t="shared" si="2"/>
        <v>0</v>
      </c>
      <c r="C10" s="411"/>
      <c r="D10" s="411"/>
      <c r="E10" s="412">
        <f t="shared" si="0"/>
        <v>0</v>
      </c>
      <c r="F10" s="415"/>
      <c r="G10" s="723">
        <v>46178</v>
      </c>
      <c r="H10" s="414">
        <f t="shared" si="3"/>
        <v>0</v>
      </c>
      <c r="I10" s="411"/>
      <c r="J10" s="411"/>
      <c r="K10" s="431">
        <f t="shared" si="1"/>
        <v>0</v>
      </c>
      <c r="L10" s="415"/>
    </row>
    <row r="11" spans="1:14">
      <c r="A11" s="721">
        <v>46179</v>
      </c>
      <c r="B11" s="414">
        <f t="shared" si="2"/>
        <v>0</v>
      </c>
      <c r="C11" s="411"/>
      <c r="D11" s="411"/>
      <c r="E11" s="412">
        <f t="shared" si="0"/>
        <v>0</v>
      </c>
      <c r="F11" s="415"/>
      <c r="G11" s="723">
        <v>46179</v>
      </c>
      <c r="H11" s="414">
        <f t="shared" si="3"/>
        <v>0</v>
      </c>
      <c r="I11" s="411"/>
      <c r="J11" s="411"/>
      <c r="K11" s="431">
        <f t="shared" si="1"/>
        <v>0</v>
      </c>
      <c r="L11" s="415"/>
    </row>
    <row r="12" spans="1:14">
      <c r="A12" s="721">
        <v>46180</v>
      </c>
      <c r="B12" s="414">
        <f t="shared" si="2"/>
        <v>0</v>
      </c>
      <c r="C12" s="411"/>
      <c r="D12" s="411"/>
      <c r="E12" s="412">
        <f t="shared" si="0"/>
        <v>0</v>
      </c>
      <c r="F12" s="416"/>
      <c r="G12" s="723">
        <v>46180</v>
      </c>
      <c r="H12" s="414">
        <f t="shared" si="3"/>
        <v>0</v>
      </c>
      <c r="I12" s="411"/>
      <c r="J12" s="411"/>
      <c r="K12" s="431">
        <f t="shared" si="1"/>
        <v>0</v>
      </c>
      <c r="L12" s="415"/>
    </row>
    <row r="13" spans="1:14">
      <c r="A13" s="721">
        <v>46181</v>
      </c>
      <c r="B13" s="414">
        <f t="shared" si="2"/>
        <v>0</v>
      </c>
      <c r="C13" s="411"/>
      <c r="D13" s="411"/>
      <c r="E13" s="412">
        <f t="shared" si="0"/>
        <v>0</v>
      </c>
      <c r="F13" s="413"/>
      <c r="G13" s="723">
        <v>46181</v>
      </c>
      <c r="H13" s="414">
        <f t="shared" si="3"/>
        <v>0</v>
      </c>
      <c r="I13" s="411"/>
      <c r="J13" s="411"/>
      <c r="K13" s="431">
        <f t="shared" si="1"/>
        <v>0</v>
      </c>
      <c r="L13" s="415"/>
    </row>
    <row r="14" spans="1:14">
      <c r="A14" s="721">
        <v>46182</v>
      </c>
      <c r="B14" s="414">
        <f t="shared" si="2"/>
        <v>0</v>
      </c>
      <c r="C14" s="411"/>
      <c r="D14" s="411"/>
      <c r="E14" s="412">
        <f t="shared" si="0"/>
        <v>0</v>
      </c>
      <c r="F14" s="415"/>
      <c r="G14" s="723">
        <v>46182</v>
      </c>
      <c r="H14" s="414">
        <f t="shared" si="3"/>
        <v>0</v>
      </c>
      <c r="I14" s="411"/>
      <c r="J14" s="411"/>
      <c r="K14" s="431">
        <f t="shared" si="1"/>
        <v>0</v>
      </c>
      <c r="L14" s="415"/>
    </row>
    <row r="15" spans="1:14">
      <c r="A15" s="721">
        <v>46183</v>
      </c>
      <c r="B15" s="414">
        <f t="shared" si="2"/>
        <v>0</v>
      </c>
      <c r="C15" s="417"/>
      <c r="D15" s="417"/>
      <c r="E15" s="412">
        <f t="shared" si="0"/>
        <v>0</v>
      </c>
      <c r="F15" s="415"/>
      <c r="G15" s="723">
        <v>46183</v>
      </c>
      <c r="H15" s="414">
        <f t="shared" si="3"/>
        <v>0</v>
      </c>
      <c r="I15" s="417"/>
      <c r="J15" s="417"/>
      <c r="K15" s="431">
        <f t="shared" si="1"/>
        <v>0</v>
      </c>
      <c r="L15" s="415"/>
    </row>
    <row r="16" spans="1:14">
      <c r="A16" s="721">
        <v>46184</v>
      </c>
      <c r="B16" s="414">
        <f t="shared" si="2"/>
        <v>0</v>
      </c>
      <c r="C16" s="417"/>
      <c r="D16" s="417"/>
      <c r="E16" s="412">
        <f t="shared" si="0"/>
        <v>0</v>
      </c>
      <c r="F16" s="415"/>
      <c r="G16" s="723">
        <v>46184</v>
      </c>
      <c r="H16" s="414">
        <f t="shared" si="3"/>
        <v>0</v>
      </c>
      <c r="I16" s="417"/>
      <c r="J16" s="417"/>
      <c r="K16" s="431">
        <f t="shared" si="1"/>
        <v>0</v>
      </c>
      <c r="L16" s="415"/>
    </row>
    <row r="17" spans="1:12">
      <c r="A17" s="721">
        <v>46185</v>
      </c>
      <c r="B17" s="414">
        <f t="shared" si="2"/>
        <v>0</v>
      </c>
      <c r="C17" s="417"/>
      <c r="D17" s="417"/>
      <c r="E17" s="412">
        <f t="shared" si="0"/>
        <v>0</v>
      </c>
      <c r="F17" s="416"/>
      <c r="G17" s="723">
        <v>46185</v>
      </c>
      <c r="H17" s="414">
        <f t="shared" si="3"/>
        <v>0</v>
      </c>
      <c r="I17" s="417"/>
      <c r="J17" s="417"/>
      <c r="K17" s="431">
        <f t="shared" si="1"/>
        <v>0</v>
      </c>
      <c r="L17" s="415"/>
    </row>
    <row r="18" spans="1:12">
      <c r="A18" s="721">
        <v>46186</v>
      </c>
      <c r="B18" s="414">
        <f t="shared" si="2"/>
        <v>0</v>
      </c>
      <c r="C18" s="417"/>
      <c r="D18" s="417"/>
      <c r="E18" s="412">
        <f t="shared" si="0"/>
        <v>0</v>
      </c>
      <c r="F18" s="415"/>
      <c r="G18" s="723">
        <v>46186</v>
      </c>
      <c r="H18" s="414">
        <f t="shared" si="3"/>
        <v>0</v>
      </c>
      <c r="I18" s="417"/>
      <c r="J18" s="417"/>
      <c r="K18" s="431">
        <f t="shared" si="1"/>
        <v>0</v>
      </c>
      <c r="L18" s="415"/>
    </row>
    <row r="19" spans="1:12">
      <c r="A19" s="721">
        <v>46187</v>
      </c>
      <c r="B19" s="414">
        <f t="shared" si="2"/>
        <v>0</v>
      </c>
      <c r="C19" s="417"/>
      <c r="D19" s="417"/>
      <c r="E19" s="412">
        <f t="shared" si="0"/>
        <v>0</v>
      </c>
      <c r="F19" s="415"/>
      <c r="G19" s="723">
        <v>46187</v>
      </c>
      <c r="H19" s="414">
        <f t="shared" si="3"/>
        <v>0</v>
      </c>
      <c r="I19" s="417"/>
      <c r="J19" s="417"/>
      <c r="K19" s="431">
        <f t="shared" si="1"/>
        <v>0</v>
      </c>
      <c r="L19" s="415"/>
    </row>
    <row r="20" spans="1:12">
      <c r="A20" s="721">
        <v>46188</v>
      </c>
      <c r="B20" s="414">
        <f t="shared" si="2"/>
        <v>0</v>
      </c>
      <c r="C20" s="417"/>
      <c r="D20" s="417"/>
      <c r="E20" s="412">
        <f t="shared" si="0"/>
        <v>0</v>
      </c>
      <c r="F20" s="415"/>
      <c r="G20" s="723">
        <v>46188</v>
      </c>
      <c r="H20" s="414">
        <f t="shared" si="3"/>
        <v>0</v>
      </c>
      <c r="I20" s="417"/>
      <c r="J20" s="417"/>
      <c r="K20" s="431">
        <f t="shared" si="1"/>
        <v>0</v>
      </c>
      <c r="L20" s="415"/>
    </row>
    <row r="21" spans="1:12">
      <c r="A21" s="721">
        <v>46189</v>
      </c>
      <c r="B21" s="414">
        <f t="shared" si="2"/>
        <v>0</v>
      </c>
      <c r="C21" s="417"/>
      <c r="D21" s="417"/>
      <c r="E21" s="412">
        <f t="shared" si="0"/>
        <v>0</v>
      </c>
      <c r="F21" s="416"/>
      <c r="G21" s="723">
        <v>46189</v>
      </c>
      <c r="H21" s="414">
        <f t="shared" si="3"/>
        <v>0</v>
      </c>
      <c r="I21" s="417"/>
      <c r="J21" s="417"/>
      <c r="K21" s="431">
        <f t="shared" si="1"/>
        <v>0</v>
      </c>
      <c r="L21" s="415"/>
    </row>
    <row r="22" spans="1:12">
      <c r="A22" s="721">
        <v>46190</v>
      </c>
      <c r="B22" s="414">
        <f t="shared" si="2"/>
        <v>0</v>
      </c>
      <c r="C22" s="417"/>
      <c r="D22" s="417"/>
      <c r="E22" s="412">
        <f t="shared" si="0"/>
        <v>0</v>
      </c>
      <c r="F22" s="415"/>
      <c r="G22" s="723">
        <v>46190</v>
      </c>
      <c r="H22" s="414">
        <f t="shared" si="3"/>
        <v>0</v>
      </c>
      <c r="I22" s="417"/>
      <c r="J22" s="417"/>
      <c r="K22" s="431">
        <f t="shared" si="1"/>
        <v>0</v>
      </c>
      <c r="L22" s="416"/>
    </row>
    <row r="23" spans="1:12">
      <c r="A23" s="721">
        <v>46191</v>
      </c>
      <c r="B23" s="414">
        <f t="shared" si="2"/>
        <v>0</v>
      </c>
      <c r="C23" s="417"/>
      <c r="D23" s="417"/>
      <c r="E23" s="412">
        <f t="shared" si="0"/>
        <v>0</v>
      </c>
      <c r="F23" s="415"/>
      <c r="G23" s="723">
        <v>46191</v>
      </c>
      <c r="H23" s="414">
        <f t="shared" si="3"/>
        <v>0</v>
      </c>
      <c r="I23" s="417"/>
      <c r="J23" s="417"/>
      <c r="K23" s="431">
        <f t="shared" si="1"/>
        <v>0</v>
      </c>
      <c r="L23" s="415"/>
    </row>
    <row r="24" spans="1:12">
      <c r="A24" s="721">
        <v>46192</v>
      </c>
      <c r="B24" s="414">
        <f t="shared" si="2"/>
        <v>0</v>
      </c>
      <c r="C24" s="417"/>
      <c r="D24" s="417"/>
      <c r="E24" s="412">
        <f t="shared" si="0"/>
        <v>0</v>
      </c>
      <c r="F24" s="415"/>
      <c r="G24" s="723">
        <v>46192</v>
      </c>
      <c r="H24" s="414">
        <f t="shared" si="3"/>
        <v>0</v>
      </c>
      <c r="I24" s="417"/>
      <c r="J24" s="417"/>
      <c r="K24" s="431">
        <f t="shared" si="1"/>
        <v>0</v>
      </c>
      <c r="L24" s="415"/>
    </row>
    <row r="25" spans="1:12">
      <c r="A25" s="721">
        <v>46193</v>
      </c>
      <c r="B25" s="414">
        <f t="shared" si="2"/>
        <v>0</v>
      </c>
      <c r="C25" s="417"/>
      <c r="D25" s="417"/>
      <c r="E25" s="412">
        <f t="shared" si="0"/>
        <v>0</v>
      </c>
      <c r="F25" s="415"/>
      <c r="G25" s="723">
        <v>46193</v>
      </c>
      <c r="H25" s="414">
        <f t="shared" si="3"/>
        <v>0</v>
      </c>
      <c r="I25" s="417"/>
      <c r="J25" s="417"/>
      <c r="K25" s="431">
        <f t="shared" si="1"/>
        <v>0</v>
      </c>
      <c r="L25" s="415"/>
    </row>
    <row r="26" spans="1:12">
      <c r="A26" s="721">
        <v>46194</v>
      </c>
      <c r="B26" s="414">
        <f t="shared" si="2"/>
        <v>0</v>
      </c>
      <c r="C26" s="417"/>
      <c r="D26" s="417"/>
      <c r="E26" s="412">
        <f t="shared" si="0"/>
        <v>0</v>
      </c>
      <c r="F26" s="416"/>
      <c r="G26" s="723">
        <v>46194</v>
      </c>
      <c r="H26" s="414">
        <f t="shared" si="3"/>
        <v>0</v>
      </c>
      <c r="I26" s="417"/>
      <c r="J26" s="417"/>
      <c r="K26" s="431">
        <f t="shared" si="1"/>
        <v>0</v>
      </c>
      <c r="L26" s="415"/>
    </row>
    <row r="27" spans="1:12">
      <c r="A27" s="721">
        <v>46195</v>
      </c>
      <c r="B27" s="414">
        <f t="shared" si="2"/>
        <v>0</v>
      </c>
      <c r="C27" s="417"/>
      <c r="D27" s="417"/>
      <c r="E27" s="412">
        <f t="shared" si="0"/>
        <v>0</v>
      </c>
      <c r="F27" s="415"/>
      <c r="G27" s="723">
        <v>46195</v>
      </c>
      <c r="H27" s="414">
        <f t="shared" si="3"/>
        <v>0</v>
      </c>
      <c r="I27" s="417"/>
      <c r="J27" s="417"/>
      <c r="K27" s="431">
        <f t="shared" si="1"/>
        <v>0</v>
      </c>
      <c r="L27" s="415"/>
    </row>
    <row r="28" spans="1:12">
      <c r="A28" s="721">
        <v>46196</v>
      </c>
      <c r="B28" s="414">
        <f t="shared" si="2"/>
        <v>0</v>
      </c>
      <c r="C28" s="417"/>
      <c r="D28" s="417"/>
      <c r="E28" s="412">
        <f t="shared" si="0"/>
        <v>0</v>
      </c>
      <c r="F28" s="415"/>
      <c r="G28" s="723">
        <v>46196</v>
      </c>
      <c r="H28" s="414">
        <f t="shared" si="3"/>
        <v>0</v>
      </c>
      <c r="I28" s="417"/>
      <c r="J28" s="417"/>
      <c r="K28" s="431">
        <f t="shared" si="1"/>
        <v>0</v>
      </c>
      <c r="L28" s="415"/>
    </row>
    <row r="29" spans="1:12">
      <c r="A29" s="721">
        <v>46197</v>
      </c>
      <c r="B29" s="414">
        <f t="shared" si="2"/>
        <v>0</v>
      </c>
      <c r="C29" s="417"/>
      <c r="D29" s="417"/>
      <c r="E29" s="412">
        <f t="shared" si="0"/>
        <v>0</v>
      </c>
      <c r="F29" s="415"/>
      <c r="G29" s="723">
        <v>46197</v>
      </c>
      <c r="H29" s="414">
        <f t="shared" si="3"/>
        <v>0</v>
      </c>
      <c r="I29" s="417"/>
      <c r="J29" s="417"/>
      <c r="K29" s="431">
        <f t="shared" si="1"/>
        <v>0</v>
      </c>
      <c r="L29" s="415"/>
    </row>
    <row r="30" spans="1:12">
      <c r="A30" s="721">
        <v>46198</v>
      </c>
      <c r="B30" s="414">
        <f t="shared" si="2"/>
        <v>0</v>
      </c>
      <c r="C30" s="417"/>
      <c r="D30" s="417"/>
      <c r="E30" s="412">
        <f t="shared" si="0"/>
        <v>0</v>
      </c>
      <c r="F30" s="415"/>
      <c r="G30" s="723">
        <v>46198</v>
      </c>
      <c r="H30" s="414">
        <f t="shared" si="3"/>
        <v>0</v>
      </c>
      <c r="I30" s="417"/>
      <c r="J30" s="417"/>
      <c r="K30" s="431">
        <f t="shared" si="1"/>
        <v>0</v>
      </c>
      <c r="L30" s="415"/>
    </row>
    <row r="31" spans="1:12">
      <c r="A31" s="721">
        <v>46199</v>
      </c>
      <c r="B31" s="414">
        <f t="shared" si="2"/>
        <v>0</v>
      </c>
      <c r="C31" s="417"/>
      <c r="D31" s="417"/>
      <c r="E31" s="412">
        <f t="shared" si="0"/>
        <v>0</v>
      </c>
      <c r="F31" s="415"/>
      <c r="G31" s="723">
        <v>46199</v>
      </c>
      <c r="H31" s="414">
        <f t="shared" si="3"/>
        <v>0</v>
      </c>
      <c r="I31" s="417"/>
      <c r="J31" s="417"/>
      <c r="K31" s="431">
        <f t="shared" si="1"/>
        <v>0</v>
      </c>
      <c r="L31" s="415"/>
    </row>
    <row r="32" spans="1:12">
      <c r="A32" s="721">
        <v>46200</v>
      </c>
      <c r="B32" s="414">
        <f t="shared" si="2"/>
        <v>0</v>
      </c>
      <c r="C32" s="417"/>
      <c r="D32" s="417"/>
      <c r="E32" s="412">
        <f t="shared" si="0"/>
        <v>0</v>
      </c>
      <c r="F32" s="415"/>
      <c r="G32" s="723">
        <v>46200</v>
      </c>
      <c r="H32" s="414">
        <f t="shared" si="3"/>
        <v>0</v>
      </c>
      <c r="I32" s="417"/>
      <c r="J32" s="417"/>
      <c r="K32" s="431">
        <f t="shared" si="1"/>
        <v>0</v>
      </c>
      <c r="L32" s="415"/>
    </row>
    <row r="33" spans="1:12">
      <c r="A33" s="721">
        <v>46201</v>
      </c>
      <c r="B33" s="414">
        <f t="shared" si="2"/>
        <v>0</v>
      </c>
      <c r="C33" s="417"/>
      <c r="D33" s="417"/>
      <c r="E33" s="412">
        <f t="shared" si="0"/>
        <v>0</v>
      </c>
      <c r="F33" s="415"/>
      <c r="G33" s="723">
        <v>46201</v>
      </c>
      <c r="H33" s="414">
        <f t="shared" si="3"/>
        <v>0</v>
      </c>
      <c r="I33" s="417"/>
      <c r="J33" s="417"/>
      <c r="K33" s="431">
        <f t="shared" si="1"/>
        <v>0</v>
      </c>
      <c r="L33" s="415"/>
    </row>
    <row r="34" spans="1:12">
      <c r="A34" s="721">
        <v>46202</v>
      </c>
      <c r="B34" s="414">
        <f t="shared" si="2"/>
        <v>0</v>
      </c>
      <c r="C34" s="417"/>
      <c r="D34" s="417"/>
      <c r="E34" s="412">
        <f t="shared" si="0"/>
        <v>0</v>
      </c>
      <c r="F34" s="415"/>
      <c r="G34" s="723">
        <v>46202</v>
      </c>
      <c r="H34" s="414">
        <f t="shared" si="3"/>
        <v>0</v>
      </c>
      <c r="I34" s="417"/>
      <c r="J34" s="417"/>
      <c r="K34" s="431">
        <f t="shared" si="1"/>
        <v>0</v>
      </c>
      <c r="L34" s="415"/>
    </row>
    <row r="35" spans="1:12">
      <c r="A35" s="721">
        <v>46203</v>
      </c>
      <c r="B35" s="414">
        <f t="shared" si="2"/>
        <v>0</v>
      </c>
      <c r="C35" s="417"/>
      <c r="D35" s="417"/>
      <c r="E35" s="412">
        <f t="shared" si="0"/>
        <v>0</v>
      </c>
      <c r="F35" s="415"/>
      <c r="G35" s="723">
        <v>46203</v>
      </c>
      <c r="H35" s="414">
        <f t="shared" si="3"/>
        <v>0</v>
      </c>
      <c r="I35" s="417"/>
      <c r="J35" s="417"/>
      <c r="K35" s="431">
        <f t="shared" si="1"/>
        <v>0</v>
      </c>
      <c r="L35" s="415"/>
    </row>
    <row r="36" spans="1:12">
      <c r="A36" s="721"/>
      <c r="B36" s="418">
        <f t="shared" si="2"/>
        <v>0</v>
      </c>
      <c r="C36" s="419"/>
      <c r="D36" s="419"/>
      <c r="E36" s="420">
        <f t="shared" si="0"/>
        <v>0</v>
      </c>
      <c r="F36" s="421"/>
      <c r="G36" s="409"/>
      <c r="H36" s="418">
        <f t="shared" si="3"/>
        <v>0</v>
      </c>
      <c r="I36" s="419"/>
      <c r="J36" s="419"/>
      <c r="K36" s="432">
        <f t="shared" si="1"/>
        <v>0</v>
      </c>
      <c r="L36" s="421"/>
    </row>
  </sheetData>
  <sheetProtection formatCells="0" formatColumns="0" formatRows="0" insertColumns="0"/>
  <mergeCells count="9">
    <mergeCell ref="B4:F4"/>
    <mergeCell ref="H4:L4"/>
    <mergeCell ref="A4:A5"/>
    <mergeCell ref="G4:G5"/>
    <mergeCell ref="A1:L1"/>
    <mergeCell ref="A2:L2"/>
    <mergeCell ref="A3:D3"/>
    <mergeCell ref="E3:F3"/>
    <mergeCell ref="G3:H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2"/>
  <sheetViews>
    <sheetView topLeftCell="A39" zoomScale="72" zoomScaleNormal="72" workbookViewId="0">
      <selection activeCell="C16" sqref="C16"/>
    </sheetView>
  </sheetViews>
  <sheetFormatPr defaultColWidth="9" defaultRowHeight="15.75"/>
  <cols>
    <col min="1" max="1" width="22.5703125" style="302" customWidth="1"/>
    <col min="2" max="2" width="20.28515625" style="302" customWidth="1"/>
    <col min="3" max="3" width="18.42578125" style="302" customWidth="1"/>
    <col min="4" max="4" width="16.140625" style="302" customWidth="1"/>
    <col min="5" max="5" width="17.5703125" style="302" customWidth="1"/>
    <col min="6" max="6" width="18.140625" style="302" customWidth="1"/>
    <col min="7" max="7" width="22.28515625" style="302" customWidth="1"/>
    <col min="8" max="8" width="18.140625" style="302" bestFit="1" customWidth="1"/>
    <col min="9" max="9" width="16.85546875" style="302" customWidth="1"/>
    <col min="10" max="10" width="12.85546875" style="302" customWidth="1"/>
    <col min="11" max="11" width="22.140625" style="302" customWidth="1"/>
    <col min="12" max="12" width="5.28515625" style="302" hidden="1" customWidth="1"/>
    <col min="13" max="16384" width="9" style="302"/>
  </cols>
  <sheetData>
    <row r="1" spans="1:12" ht="21">
      <c r="A1" s="831" t="s">
        <v>105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3"/>
    </row>
    <row r="2" spans="1:12" ht="23.25">
      <c r="A2" s="303" t="s">
        <v>106</v>
      </c>
      <c r="B2" s="304" t="s">
        <v>176</v>
      </c>
      <c r="C2" s="834"/>
      <c r="D2" s="834"/>
      <c r="E2" s="834"/>
      <c r="F2" s="834"/>
      <c r="G2" s="305" t="s">
        <v>107</v>
      </c>
      <c r="H2" s="696">
        <v>46235</v>
      </c>
      <c r="I2" s="844"/>
      <c r="J2" s="844"/>
      <c r="K2" s="844"/>
      <c r="L2" s="845"/>
    </row>
    <row r="3" spans="1:12" ht="21">
      <c r="A3" s="306" t="s">
        <v>108</v>
      </c>
      <c r="B3" s="307" t="s">
        <v>182</v>
      </c>
      <c r="C3" s="308" t="s">
        <v>13</v>
      </c>
      <c r="D3" s="309" t="s">
        <v>14</v>
      </c>
      <c r="E3" s="310" t="s">
        <v>15</v>
      </c>
      <c r="F3" s="311" t="s">
        <v>109</v>
      </c>
      <c r="G3" s="306" t="s">
        <v>110</v>
      </c>
      <c r="H3" s="312"/>
      <c r="I3" s="846"/>
      <c r="J3" s="846"/>
      <c r="K3" s="846"/>
      <c r="L3" s="847"/>
    </row>
    <row r="4" spans="1:12" ht="21">
      <c r="A4" s="835"/>
      <c r="B4" s="836"/>
      <c r="C4" s="313">
        <v>7.5</v>
      </c>
      <c r="D4" s="313">
        <v>9.5</v>
      </c>
      <c r="E4" s="313">
        <v>0</v>
      </c>
      <c r="F4" s="313">
        <v>0</v>
      </c>
      <c r="G4" s="314">
        <f>SUM(C4,D4,E4,F4)</f>
        <v>17</v>
      </c>
      <c r="H4" s="315"/>
      <c r="I4" s="848"/>
      <c r="J4" s="848"/>
      <c r="K4" s="848"/>
      <c r="L4" s="849"/>
    </row>
    <row r="5" spans="1:12" s="299" customFormat="1" ht="42.75" thickBot="1">
      <c r="A5" s="316" t="s">
        <v>111</v>
      </c>
      <c r="B5" s="317" t="s">
        <v>112</v>
      </c>
      <c r="C5" s="317" t="s">
        <v>113</v>
      </c>
      <c r="D5" s="317" t="s">
        <v>114</v>
      </c>
      <c r="E5" s="317" t="s">
        <v>21</v>
      </c>
      <c r="F5" s="317" t="s">
        <v>115</v>
      </c>
      <c r="G5" s="318" t="s">
        <v>116</v>
      </c>
      <c r="H5" s="317" t="s">
        <v>117</v>
      </c>
      <c r="I5" s="317" t="s">
        <v>118</v>
      </c>
      <c r="J5" s="386" t="s">
        <v>119</v>
      </c>
      <c r="K5" s="837" t="s">
        <v>120</v>
      </c>
      <c r="L5" s="838"/>
    </row>
    <row r="6" spans="1:12" ht="42.75" thickBot="1">
      <c r="A6" s="319" t="s">
        <v>196</v>
      </c>
      <c r="B6" s="677">
        <v>243</v>
      </c>
      <c r="C6" s="678">
        <v>170</v>
      </c>
      <c r="D6" s="679">
        <f t="shared" ref="D6:D14" si="0">B6+C6</f>
        <v>413</v>
      </c>
      <c r="E6" s="677">
        <v>22</v>
      </c>
      <c r="F6" s="680">
        <v>3.5</v>
      </c>
      <c r="G6" s="681">
        <v>25125</v>
      </c>
      <c r="H6" s="682">
        <f>SUM(G6,F6)</f>
        <v>25128.5</v>
      </c>
      <c r="I6" s="683">
        <f>D6-E6</f>
        <v>391</v>
      </c>
      <c r="J6" s="684">
        <f>IFERROR(E6/F6,"")</f>
        <v>6.2857142857142856</v>
      </c>
      <c r="K6" s="839"/>
      <c r="L6" s="840"/>
    </row>
    <row r="7" spans="1:12" ht="42.75" thickBot="1">
      <c r="A7" s="319" t="s">
        <v>191</v>
      </c>
      <c r="B7" s="677">
        <v>54</v>
      </c>
      <c r="C7" s="678">
        <v>80</v>
      </c>
      <c r="D7" s="685">
        <f t="shared" si="0"/>
        <v>134</v>
      </c>
      <c r="E7" s="677">
        <v>78</v>
      </c>
      <c r="F7" s="680">
        <v>5.5</v>
      </c>
      <c r="G7" s="681">
        <v>1457</v>
      </c>
      <c r="H7" s="679">
        <f t="shared" ref="H7:H26" si="1">SUM(G7,F7)</f>
        <v>1462.5</v>
      </c>
      <c r="I7" s="686">
        <f t="shared" ref="I7:I26" si="2">D7-E7</f>
        <v>56</v>
      </c>
      <c r="J7" s="684">
        <f t="shared" ref="J7:J26" si="3">IFERROR(E7/F7,"")</f>
        <v>14.181818181818182</v>
      </c>
      <c r="K7" s="827"/>
      <c r="L7" s="828"/>
    </row>
    <row r="8" spans="1:12" ht="63.75" thickBot="1">
      <c r="A8" s="319" t="s">
        <v>197</v>
      </c>
      <c r="B8" s="677">
        <v>32</v>
      </c>
      <c r="C8" s="678">
        <v>0</v>
      </c>
      <c r="D8" s="685">
        <f t="shared" si="0"/>
        <v>32</v>
      </c>
      <c r="E8" s="677">
        <v>0</v>
      </c>
      <c r="F8" s="680">
        <v>0</v>
      </c>
      <c r="G8" s="681">
        <v>1265</v>
      </c>
      <c r="H8" s="679">
        <f t="shared" si="1"/>
        <v>1265</v>
      </c>
      <c r="I8" s="686">
        <f t="shared" si="2"/>
        <v>32</v>
      </c>
      <c r="J8" s="684" t="str">
        <f t="shared" si="3"/>
        <v/>
      </c>
      <c r="K8" s="829" t="s">
        <v>199</v>
      </c>
      <c r="L8" s="830"/>
    </row>
    <row r="9" spans="1:12" ht="63.75" thickBot="1">
      <c r="A9" s="319" t="s">
        <v>198</v>
      </c>
      <c r="B9" s="677">
        <v>81</v>
      </c>
      <c r="C9" s="678">
        <v>200</v>
      </c>
      <c r="D9" s="685">
        <f t="shared" si="0"/>
        <v>281</v>
      </c>
      <c r="E9" s="677">
        <f>24*6</f>
        <v>144</v>
      </c>
      <c r="F9" s="680">
        <v>24</v>
      </c>
      <c r="G9" s="681">
        <v>3126</v>
      </c>
      <c r="H9" s="679">
        <f t="shared" si="1"/>
        <v>3150</v>
      </c>
      <c r="I9" s="686">
        <f t="shared" si="2"/>
        <v>137</v>
      </c>
      <c r="J9" s="684">
        <f t="shared" si="3"/>
        <v>6</v>
      </c>
      <c r="K9" s="829"/>
      <c r="L9" s="830"/>
    </row>
    <row r="10" spans="1:12" ht="27" thickBot="1">
      <c r="A10" s="317" t="s">
        <v>188</v>
      </c>
      <c r="B10" s="677">
        <v>26</v>
      </c>
      <c r="C10" s="678">
        <v>0</v>
      </c>
      <c r="D10" s="685">
        <f t="shared" si="0"/>
        <v>26</v>
      </c>
      <c r="E10" s="677">
        <v>0</v>
      </c>
      <c r="F10" s="680">
        <v>0</v>
      </c>
      <c r="G10" s="681">
        <v>97</v>
      </c>
      <c r="H10" s="679">
        <f t="shared" si="1"/>
        <v>97</v>
      </c>
      <c r="I10" s="686">
        <f t="shared" si="2"/>
        <v>26</v>
      </c>
      <c r="J10" s="684" t="str">
        <f t="shared" si="3"/>
        <v/>
      </c>
      <c r="K10" s="829"/>
      <c r="L10" s="830"/>
    </row>
    <row r="11" spans="1:12" ht="63.75" thickBot="1">
      <c r="A11" s="317" t="s">
        <v>175</v>
      </c>
      <c r="B11" s="677">
        <v>0</v>
      </c>
      <c r="C11" s="678">
        <v>0</v>
      </c>
      <c r="D11" s="685">
        <f t="shared" si="0"/>
        <v>0</v>
      </c>
      <c r="E11" s="677">
        <v>0</v>
      </c>
      <c r="F11" s="680">
        <v>0</v>
      </c>
      <c r="G11" s="681">
        <v>0</v>
      </c>
      <c r="H11" s="679">
        <f t="shared" si="1"/>
        <v>0</v>
      </c>
      <c r="I11" s="686">
        <f t="shared" si="2"/>
        <v>0</v>
      </c>
      <c r="J11" s="684" t="str">
        <f t="shared" si="3"/>
        <v/>
      </c>
      <c r="K11" s="829"/>
      <c r="L11" s="830"/>
    </row>
    <row r="12" spans="1:12" ht="42.75" thickBot="1">
      <c r="A12" s="317" t="s">
        <v>121</v>
      </c>
      <c r="B12" s="677">
        <v>29</v>
      </c>
      <c r="C12" s="678">
        <v>0</v>
      </c>
      <c r="D12" s="685">
        <f t="shared" si="0"/>
        <v>29</v>
      </c>
      <c r="E12" s="677">
        <v>0</v>
      </c>
      <c r="F12" s="680">
        <v>0</v>
      </c>
      <c r="G12" s="681">
        <v>7</v>
      </c>
      <c r="H12" s="679">
        <f t="shared" si="1"/>
        <v>7</v>
      </c>
      <c r="I12" s="686">
        <f t="shared" si="2"/>
        <v>29</v>
      </c>
      <c r="J12" s="684" t="str">
        <f t="shared" si="3"/>
        <v/>
      </c>
      <c r="K12" s="829"/>
      <c r="L12" s="830"/>
    </row>
    <row r="13" spans="1:12" ht="42.75" thickBot="1">
      <c r="A13" s="317" t="s">
        <v>122</v>
      </c>
      <c r="B13" s="677">
        <v>0</v>
      </c>
      <c r="C13" s="678">
        <v>0</v>
      </c>
      <c r="D13" s="685">
        <f t="shared" si="0"/>
        <v>0</v>
      </c>
      <c r="E13" s="677">
        <v>0</v>
      </c>
      <c r="F13" s="680">
        <v>0</v>
      </c>
      <c r="G13" s="681">
        <v>0</v>
      </c>
      <c r="H13" s="679">
        <f t="shared" si="1"/>
        <v>0</v>
      </c>
      <c r="I13" s="686">
        <f t="shared" si="2"/>
        <v>0</v>
      </c>
      <c r="J13" s="684" t="str">
        <f t="shared" si="3"/>
        <v/>
      </c>
      <c r="K13" s="829"/>
      <c r="L13" s="830"/>
    </row>
    <row r="14" spans="1:12" ht="63.75" thickBot="1">
      <c r="A14" s="317" t="s">
        <v>123</v>
      </c>
      <c r="B14" s="677">
        <v>0</v>
      </c>
      <c r="C14" s="678">
        <v>0</v>
      </c>
      <c r="D14" s="685">
        <f t="shared" si="0"/>
        <v>0</v>
      </c>
      <c r="E14" s="677">
        <v>0</v>
      </c>
      <c r="F14" s="680">
        <v>0</v>
      </c>
      <c r="G14" s="681">
        <v>0</v>
      </c>
      <c r="H14" s="679">
        <f t="shared" si="1"/>
        <v>0</v>
      </c>
      <c r="I14" s="686">
        <f t="shared" si="2"/>
        <v>0</v>
      </c>
      <c r="J14" s="684" t="str">
        <f t="shared" si="3"/>
        <v/>
      </c>
      <c r="K14" s="829"/>
      <c r="L14" s="830"/>
    </row>
    <row r="15" spans="1:12" ht="84.75" thickBot="1">
      <c r="A15" s="317" t="s">
        <v>124</v>
      </c>
      <c r="B15" s="677">
        <v>0</v>
      </c>
      <c r="C15" s="678">
        <v>0</v>
      </c>
      <c r="D15" s="685">
        <f t="shared" ref="D15:D26" si="4">C15+B15</f>
        <v>0</v>
      </c>
      <c r="E15" s="677">
        <v>0</v>
      </c>
      <c r="F15" s="680">
        <v>0</v>
      </c>
      <c r="G15" s="681">
        <v>0</v>
      </c>
      <c r="H15" s="679">
        <f t="shared" si="1"/>
        <v>0</v>
      </c>
      <c r="I15" s="686">
        <f t="shared" si="2"/>
        <v>0</v>
      </c>
      <c r="J15" s="684" t="str">
        <f t="shared" si="3"/>
        <v/>
      </c>
      <c r="K15" s="829"/>
      <c r="L15" s="830"/>
    </row>
    <row r="16" spans="1:12" ht="63.75" thickBot="1">
      <c r="A16" s="317" t="s">
        <v>125</v>
      </c>
      <c r="B16" s="677">
        <v>0</v>
      </c>
      <c r="C16" s="678">
        <v>10</v>
      </c>
      <c r="D16" s="685">
        <f t="shared" si="4"/>
        <v>10</v>
      </c>
      <c r="E16" s="677">
        <v>10</v>
      </c>
      <c r="F16" s="680">
        <v>0</v>
      </c>
      <c r="G16" s="681">
        <v>0</v>
      </c>
      <c r="H16" s="679">
        <f t="shared" si="1"/>
        <v>0</v>
      </c>
      <c r="I16" s="686">
        <f t="shared" si="2"/>
        <v>0</v>
      </c>
      <c r="J16" s="684" t="str">
        <f t="shared" si="3"/>
        <v/>
      </c>
      <c r="K16" s="829" t="s">
        <v>195</v>
      </c>
      <c r="L16" s="830"/>
    </row>
    <row r="17" spans="1:12" ht="27" thickBot="1">
      <c r="A17" s="326" t="s">
        <v>11</v>
      </c>
      <c r="B17" s="677">
        <v>0</v>
      </c>
      <c r="C17" s="678"/>
      <c r="D17" s="685">
        <f t="shared" si="4"/>
        <v>0</v>
      </c>
      <c r="E17" s="677">
        <v>0</v>
      </c>
      <c r="F17" s="680">
        <v>0</v>
      </c>
      <c r="G17" s="681">
        <v>0</v>
      </c>
      <c r="H17" s="679">
        <f t="shared" si="1"/>
        <v>0</v>
      </c>
      <c r="I17" s="686">
        <f t="shared" si="2"/>
        <v>0</v>
      </c>
      <c r="J17" s="684" t="str">
        <f t="shared" si="3"/>
        <v/>
      </c>
      <c r="K17" s="829"/>
      <c r="L17" s="830"/>
    </row>
    <row r="18" spans="1:12" ht="21" hidden="1">
      <c r="A18" s="327"/>
      <c r="B18" s="320"/>
      <c r="C18" s="321"/>
      <c r="D18" s="325">
        <f t="shared" si="4"/>
        <v>0</v>
      </c>
      <c r="E18" s="320"/>
      <c r="F18" s="323"/>
      <c r="G18" s="324"/>
      <c r="H18" s="322">
        <f t="shared" si="1"/>
        <v>0</v>
      </c>
      <c r="I18" s="388">
        <f t="shared" si="2"/>
        <v>0</v>
      </c>
      <c r="J18" s="387" t="str">
        <f t="shared" si="3"/>
        <v/>
      </c>
      <c r="K18" s="829"/>
      <c r="L18" s="830"/>
    </row>
    <row r="19" spans="1:12" ht="21" hidden="1">
      <c r="A19" s="327"/>
      <c r="B19" s="320"/>
      <c r="C19" s="321"/>
      <c r="D19" s="325">
        <f t="shared" si="4"/>
        <v>0</v>
      </c>
      <c r="E19" s="320"/>
      <c r="F19" s="323"/>
      <c r="G19" s="324"/>
      <c r="H19" s="322">
        <f t="shared" si="1"/>
        <v>0</v>
      </c>
      <c r="I19" s="388">
        <f t="shared" si="2"/>
        <v>0</v>
      </c>
      <c r="J19" s="387" t="str">
        <f t="shared" si="3"/>
        <v/>
      </c>
      <c r="K19" s="829"/>
      <c r="L19" s="830"/>
    </row>
    <row r="20" spans="1:12" ht="21" hidden="1">
      <c r="A20" s="327"/>
      <c r="B20" s="320"/>
      <c r="C20" s="321"/>
      <c r="D20" s="325">
        <f t="shared" si="4"/>
        <v>0</v>
      </c>
      <c r="E20" s="320"/>
      <c r="F20" s="323"/>
      <c r="G20" s="324"/>
      <c r="H20" s="322">
        <f t="shared" si="1"/>
        <v>0</v>
      </c>
      <c r="I20" s="388">
        <f t="shared" si="2"/>
        <v>0</v>
      </c>
      <c r="J20" s="387" t="str">
        <f t="shared" si="3"/>
        <v/>
      </c>
      <c r="K20" s="829"/>
      <c r="L20" s="830"/>
    </row>
    <row r="21" spans="1:12" ht="21" hidden="1">
      <c r="A21" s="327"/>
      <c r="B21" s="320"/>
      <c r="C21" s="321"/>
      <c r="D21" s="325">
        <f t="shared" si="4"/>
        <v>0</v>
      </c>
      <c r="E21" s="320"/>
      <c r="F21" s="323"/>
      <c r="G21" s="324"/>
      <c r="H21" s="322">
        <f t="shared" si="1"/>
        <v>0</v>
      </c>
      <c r="I21" s="388">
        <f t="shared" si="2"/>
        <v>0</v>
      </c>
      <c r="J21" s="387" t="str">
        <f t="shared" si="3"/>
        <v/>
      </c>
      <c r="K21" s="829"/>
      <c r="L21" s="830"/>
    </row>
    <row r="22" spans="1:12" ht="21" hidden="1">
      <c r="A22" s="327"/>
      <c r="B22" s="320"/>
      <c r="C22" s="321"/>
      <c r="D22" s="325">
        <f t="shared" si="4"/>
        <v>0</v>
      </c>
      <c r="E22" s="320"/>
      <c r="F22" s="323"/>
      <c r="G22" s="324"/>
      <c r="H22" s="322">
        <f t="shared" si="1"/>
        <v>0</v>
      </c>
      <c r="I22" s="388">
        <f t="shared" si="2"/>
        <v>0</v>
      </c>
      <c r="J22" s="387" t="str">
        <f t="shared" si="3"/>
        <v/>
      </c>
      <c r="K22" s="829"/>
      <c r="L22" s="830"/>
    </row>
    <row r="23" spans="1:12" ht="21" hidden="1">
      <c r="A23" s="327"/>
      <c r="B23" s="320"/>
      <c r="C23" s="321"/>
      <c r="D23" s="325">
        <f t="shared" si="4"/>
        <v>0</v>
      </c>
      <c r="E23" s="320"/>
      <c r="F23" s="323"/>
      <c r="G23" s="324"/>
      <c r="H23" s="322">
        <f t="shared" si="1"/>
        <v>0</v>
      </c>
      <c r="I23" s="388">
        <f t="shared" si="2"/>
        <v>0</v>
      </c>
      <c r="J23" s="387" t="str">
        <f t="shared" si="3"/>
        <v/>
      </c>
      <c r="K23" s="829"/>
      <c r="L23" s="830"/>
    </row>
    <row r="24" spans="1:12" ht="21" hidden="1">
      <c r="A24" s="327"/>
      <c r="B24" s="320"/>
      <c r="C24" s="321"/>
      <c r="D24" s="325">
        <f t="shared" si="4"/>
        <v>0</v>
      </c>
      <c r="E24" s="320"/>
      <c r="F24" s="323"/>
      <c r="G24" s="324"/>
      <c r="H24" s="322">
        <f t="shared" si="1"/>
        <v>0</v>
      </c>
      <c r="I24" s="388">
        <f t="shared" si="2"/>
        <v>0</v>
      </c>
      <c r="J24" s="387" t="str">
        <f t="shared" si="3"/>
        <v/>
      </c>
      <c r="K24" s="829"/>
      <c r="L24" s="830"/>
    </row>
    <row r="25" spans="1:12" ht="21" hidden="1">
      <c r="A25" s="327"/>
      <c r="B25" s="320"/>
      <c r="C25" s="321"/>
      <c r="D25" s="328">
        <f t="shared" si="4"/>
        <v>0</v>
      </c>
      <c r="E25" s="320"/>
      <c r="F25" s="323"/>
      <c r="G25" s="324"/>
      <c r="H25" s="316">
        <f t="shared" si="1"/>
        <v>0</v>
      </c>
      <c r="I25" s="389">
        <f t="shared" si="2"/>
        <v>0</v>
      </c>
      <c r="J25" s="387" t="str">
        <f t="shared" si="3"/>
        <v/>
      </c>
      <c r="K25" s="829"/>
      <c r="L25" s="830"/>
    </row>
    <row r="26" spans="1:12" ht="21" hidden="1">
      <c r="A26" s="329"/>
      <c r="B26" s="320"/>
      <c r="C26" s="321"/>
      <c r="D26" s="328">
        <f t="shared" si="4"/>
        <v>0</v>
      </c>
      <c r="E26" s="320"/>
      <c r="F26" s="323"/>
      <c r="G26" s="324"/>
      <c r="H26" s="316">
        <f t="shared" si="1"/>
        <v>0</v>
      </c>
      <c r="I26" s="389">
        <f t="shared" si="2"/>
        <v>0</v>
      </c>
      <c r="J26" s="387" t="str">
        <f t="shared" si="3"/>
        <v/>
      </c>
      <c r="K26" s="390"/>
      <c r="L26" s="391"/>
    </row>
    <row r="27" spans="1:12" ht="21.75" thickBot="1">
      <c r="A27" s="330" t="s">
        <v>114</v>
      </c>
      <c r="B27" s="331"/>
      <c r="C27" s="330">
        <f>SUM(C6:C26)</f>
        <v>460</v>
      </c>
      <c r="D27" s="330" t="e">
        <f>D6+D7+D8+D9+D10+#REF!+D11+D12+D13+D14+D15+D16+D17+D18+D19+D20+D21+D22+D24+D23+D25+D26</f>
        <v>#REF!</v>
      </c>
      <c r="E27" s="330">
        <f>SUM(E6:E26)</f>
        <v>254</v>
      </c>
      <c r="F27" s="330">
        <f>SUM(F6:F26)</f>
        <v>33</v>
      </c>
      <c r="G27" s="850"/>
      <c r="H27" s="851"/>
      <c r="I27" s="330" t="e">
        <f>I6+I7+I8+I9+I10+#REF!+I11+I12+I13+I14+I15+I16+I17+I18+I19+I20+I21+I22+I24+I23+I25+I26</f>
        <v>#REF!</v>
      </c>
      <c r="J27" s="386"/>
      <c r="K27" s="852"/>
      <c r="L27" s="853"/>
    </row>
    <row r="28" spans="1:12" ht="16.5" thickBot="1">
      <c r="A28" s="332"/>
      <c r="B28" s="333"/>
      <c r="C28" s="333"/>
      <c r="D28" s="333"/>
      <c r="E28" s="333"/>
      <c r="F28" s="333"/>
      <c r="G28" s="333"/>
      <c r="H28" s="333"/>
      <c r="I28" s="333"/>
      <c r="J28" s="392"/>
    </row>
    <row r="29" spans="1:12" ht="56.25">
      <c r="A29" s="334"/>
      <c r="B29" s="335" t="s">
        <v>126</v>
      </c>
      <c r="C29" s="335" t="s">
        <v>127</v>
      </c>
      <c r="D29" s="335" t="s">
        <v>128</v>
      </c>
      <c r="E29" s="335" t="s">
        <v>129</v>
      </c>
      <c r="F29" s="335" t="s">
        <v>130</v>
      </c>
      <c r="G29" s="335" t="s">
        <v>131</v>
      </c>
      <c r="H29" s="854" t="s">
        <v>120</v>
      </c>
      <c r="I29" s="855"/>
    </row>
    <row r="30" spans="1:12" ht="26.25">
      <c r="A30" s="335" t="s">
        <v>132</v>
      </c>
      <c r="B30" s="687">
        <v>100</v>
      </c>
      <c r="C30" s="688">
        <v>800</v>
      </c>
      <c r="D30" s="689">
        <f>SUM(B30:C30)</f>
        <v>900</v>
      </c>
      <c r="E30" s="690">
        <f>C27</f>
        <v>460</v>
      </c>
      <c r="F30" s="689">
        <f>E27</f>
        <v>254</v>
      </c>
      <c r="G30" s="691">
        <f>D30-E30</f>
        <v>440</v>
      </c>
      <c r="H30" s="856"/>
      <c r="I30" s="857"/>
    </row>
    <row r="31" spans="1:12" ht="26.25">
      <c r="A31" s="336" t="s">
        <v>133</v>
      </c>
      <c r="B31" s="692">
        <v>0</v>
      </c>
      <c r="C31" s="688">
        <v>0</v>
      </c>
      <c r="D31" s="689">
        <f>SUM(B31,C31)</f>
        <v>0</v>
      </c>
      <c r="E31" s="693">
        <v>0</v>
      </c>
      <c r="F31" s="694">
        <v>0</v>
      </c>
      <c r="G31" s="691">
        <f>D31-F31</f>
        <v>0</v>
      </c>
      <c r="H31" s="858"/>
      <c r="I31" s="859"/>
      <c r="J31" s="393"/>
    </row>
    <row r="32" spans="1:12" s="300" customFormat="1" ht="18.75">
      <c r="A32" s="337"/>
      <c r="B32" s="338"/>
      <c r="C32" s="338"/>
      <c r="D32" s="338"/>
      <c r="E32" s="338"/>
      <c r="F32" s="338"/>
      <c r="G32" s="339"/>
      <c r="H32" s="340"/>
      <c r="I32" s="340"/>
      <c r="J32" s="394"/>
    </row>
    <row r="33" spans="1:11" ht="18.75">
      <c r="A33" s="841" t="s">
        <v>134</v>
      </c>
      <c r="B33" s="842"/>
      <c r="C33" s="842"/>
      <c r="D33" s="842"/>
      <c r="E33" s="842"/>
      <c r="F33" s="842"/>
      <c r="G33" s="843"/>
      <c r="H33" s="341"/>
      <c r="I33" s="341"/>
      <c r="J33" s="358"/>
    </row>
    <row r="34" spans="1:11" ht="70.5" customHeight="1">
      <c r="A34" s="342" t="s">
        <v>135</v>
      </c>
      <c r="B34" s="343" t="s">
        <v>136</v>
      </c>
      <c r="C34" s="344" t="s">
        <v>127</v>
      </c>
      <c r="D34" s="342" t="s">
        <v>137</v>
      </c>
      <c r="E34" s="345" t="s">
        <v>138</v>
      </c>
      <c r="F34" s="346" t="s">
        <v>131</v>
      </c>
      <c r="G34" s="346" t="s">
        <v>42</v>
      </c>
      <c r="H34" s="341"/>
      <c r="I34" s="341"/>
      <c r="J34" s="395"/>
    </row>
    <row r="35" spans="1:11" ht="37.5">
      <c r="A35" s="347" t="s">
        <v>139</v>
      </c>
      <c r="B35" s="709">
        <v>107</v>
      </c>
      <c r="C35" s="710"/>
      <c r="D35" s="711">
        <f>SUM(B35:C35)</f>
        <v>107</v>
      </c>
      <c r="E35" s="712"/>
      <c r="F35" s="711">
        <f>D35-E35</f>
        <v>107</v>
      </c>
      <c r="G35" s="348"/>
      <c r="H35" s="341"/>
      <c r="I35" s="341"/>
    </row>
    <row r="36" spans="1:11" ht="31.5">
      <c r="A36" s="349" t="s">
        <v>140</v>
      </c>
      <c r="B36" s="713">
        <v>420</v>
      </c>
      <c r="C36" s="714"/>
      <c r="D36" s="715">
        <f t="shared" ref="D36:D46" si="5">SUM(B36:C36)</f>
        <v>420</v>
      </c>
      <c r="E36" s="716"/>
      <c r="F36" s="715">
        <f t="shared" ref="F36:F46" si="6">D36-E36</f>
        <v>420</v>
      </c>
      <c r="G36" s="350"/>
      <c r="H36" s="341"/>
      <c r="I36" s="341"/>
    </row>
    <row r="37" spans="1:11" ht="38.25" thickBot="1">
      <c r="A37" s="349" t="s">
        <v>141</v>
      </c>
      <c r="B37" s="713">
        <v>320</v>
      </c>
      <c r="C37" s="714"/>
      <c r="D37" s="715">
        <f t="shared" si="5"/>
        <v>320</v>
      </c>
      <c r="E37" s="716"/>
      <c r="F37" s="715">
        <f t="shared" si="6"/>
        <v>320</v>
      </c>
      <c r="G37" s="351"/>
      <c r="H37" s="352"/>
      <c r="I37" s="352"/>
    </row>
    <row r="38" spans="1:11" ht="37.5">
      <c r="A38" s="349" t="s">
        <v>142</v>
      </c>
      <c r="B38" s="709">
        <v>105</v>
      </c>
      <c r="C38" s="714"/>
      <c r="D38" s="715">
        <f t="shared" si="5"/>
        <v>105</v>
      </c>
      <c r="E38" s="716"/>
      <c r="F38" s="715">
        <f t="shared" si="6"/>
        <v>105</v>
      </c>
      <c r="G38" s="350"/>
      <c r="H38" s="341"/>
      <c r="I38" s="341"/>
    </row>
    <row r="39" spans="1:11" ht="37.5">
      <c r="A39" s="349" t="s">
        <v>143</v>
      </c>
      <c r="B39" s="713">
        <v>0</v>
      </c>
      <c r="C39" s="714"/>
      <c r="D39" s="715">
        <f t="shared" si="5"/>
        <v>0</v>
      </c>
      <c r="E39" s="716"/>
      <c r="F39" s="715">
        <f t="shared" si="6"/>
        <v>0</v>
      </c>
      <c r="G39" s="350"/>
      <c r="H39" s="341"/>
      <c r="I39" s="341"/>
    </row>
    <row r="40" spans="1:11" ht="38.25" thickBot="1">
      <c r="A40" s="349" t="s">
        <v>144</v>
      </c>
      <c r="B40" s="713">
        <v>0</v>
      </c>
      <c r="C40" s="714"/>
      <c r="D40" s="715">
        <f t="shared" si="5"/>
        <v>0</v>
      </c>
      <c r="E40" s="716"/>
      <c r="F40" s="715">
        <f t="shared" si="6"/>
        <v>0</v>
      </c>
      <c r="G40" s="350"/>
      <c r="H40" s="341"/>
      <c r="I40" s="341"/>
    </row>
    <row r="41" spans="1:11" ht="37.5">
      <c r="A41" s="349" t="s">
        <v>145</v>
      </c>
      <c r="B41" s="709">
        <v>190</v>
      </c>
      <c r="C41" s="714"/>
      <c r="D41" s="715">
        <f t="shared" si="5"/>
        <v>190</v>
      </c>
      <c r="E41" s="716"/>
      <c r="F41" s="715">
        <f t="shared" si="6"/>
        <v>190</v>
      </c>
      <c r="G41" s="350"/>
      <c r="H41" s="341"/>
      <c r="I41" s="341"/>
    </row>
    <row r="42" spans="1:11" ht="37.5">
      <c r="A42" s="349" t="s">
        <v>86</v>
      </c>
      <c r="B42" s="713">
        <v>0</v>
      </c>
      <c r="C42" s="714"/>
      <c r="D42" s="715">
        <f t="shared" si="5"/>
        <v>0</v>
      </c>
      <c r="E42" s="716"/>
      <c r="F42" s="715">
        <f t="shared" si="6"/>
        <v>0</v>
      </c>
      <c r="G42" s="353"/>
      <c r="H42" s="354"/>
      <c r="I42" s="341"/>
      <c r="J42" s="396"/>
    </row>
    <row r="43" spans="1:11" ht="32.25" thickBot="1">
      <c r="A43" s="349" t="s">
        <v>146</v>
      </c>
      <c r="B43" s="713">
        <v>20</v>
      </c>
      <c r="C43" s="714"/>
      <c r="D43" s="715">
        <f t="shared" si="5"/>
        <v>20</v>
      </c>
      <c r="E43" s="716"/>
      <c r="F43" s="715">
        <f t="shared" si="6"/>
        <v>20</v>
      </c>
      <c r="G43" s="351"/>
      <c r="H43" s="352"/>
      <c r="I43" s="352"/>
    </row>
    <row r="44" spans="1:11" ht="56.25">
      <c r="A44" s="349" t="s">
        <v>147</v>
      </c>
      <c r="B44" s="709">
        <v>0</v>
      </c>
      <c r="C44" s="714"/>
      <c r="D44" s="715">
        <f t="shared" si="5"/>
        <v>0</v>
      </c>
      <c r="E44" s="716"/>
      <c r="F44" s="715">
        <f t="shared" si="6"/>
        <v>0</v>
      </c>
      <c r="G44" s="350"/>
      <c r="H44" s="339"/>
      <c r="I44" s="354"/>
    </row>
    <row r="45" spans="1:11" ht="37.5">
      <c r="A45" s="349" t="s">
        <v>148</v>
      </c>
      <c r="B45" s="713">
        <v>0</v>
      </c>
      <c r="C45" s="714"/>
      <c r="D45" s="715">
        <f t="shared" si="5"/>
        <v>0</v>
      </c>
      <c r="E45" s="716"/>
      <c r="F45" s="715">
        <f t="shared" si="6"/>
        <v>0</v>
      </c>
      <c r="G45" s="350"/>
      <c r="H45" s="339"/>
      <c r="I45" s="354"/>
    </row>
    <row r="46" spans="1:11" ht="32.25" thickBot="1">
      <c r="A46" s="355" t="s">
        <v>92</v>
      </c>
      <c r="B46" s="713">
        <v>0</v>
      </c>
      <c r="C46" s="717"/>
      <c r="D46" s="718">
        <f t="shared" si="5"/>
        <v>0</v>
      </c>
      <c r="E46" s="719"/>
      <c r="F46" s="718">
        <f t="shared" si="6"/>
        <v>0</v>
      </c>
      <c r="G46" s="356"/>
      <c r="H46" s="339"/>
      <c r="I46" s="341"/>
    </row>
    <row r="47" spans="1:11" ht="16.5" thickBot="1">
      <c r="A47" s="357"/>
      <c r="B47" s="358"/>
      <c r="C47" s="358"/>
      <c r="D47" s="358"/>
      <c r="E47" s="358"/>
      <c r="F47" s="359"/>
      <c r="G47" s="360"/>
      <c r="H47" s="361"/>
      <c r="I47" s="385"/>
      <c r="J47" s="361"/>
    </row>
    <row r="48" spans="1:11" ht="31.5">
      <c r="A48" s="362" t="s">
        <v>149</v>
      </c>
      <c r="B48" s="363" t="s">
        <v>150</v>
      </c>
      <c r="C48" s="364" t="s">
        <v>151</v>
      </c>
      <c r="D48" s="364" t="s">
        <v>152</v>
      </c>
      <c r="E48" s="365" t="s">
        <v>153</v>
      </c>
      <c r="F48" s="364" t="s">
        <v>154</v>
      </c>
      <c r="G48" s="366" t="s">
        <v>155</v>
      </c>
      <c r="H48" s="364" t="s">
        <v>156</v>
      </c>
      <c r="I48" s="363" t="s">
        <v>42</v>
      </c>
      <c r="J48" s="397"/>
      <c r="K48" s="300"/>
    </row>
    <row r="49" spans="1:11" s="301" customFormat="1">
      <c r="A49" s="367" t="s">
        <v>157</v>
      </c>
      <c r="B49" s="368">
        <v>0</v>
      </c>
      <c r="C49" s="369">
        <v>0</v>
      </c>
      <c r="D49" s="369">
        <v>0</v>
      </c>
      <c r="E49" s="369">
        <v>0</v>
      </c>
      <c r="F49" s="370">
        <v>0</v>
      </c>
      <c r="G49" s="371">
        <v>0</v>
      </c>
      <c r="H49" s="372">
        <v>0</v>
      </c>
      <c r="I49" s="398"/>
      <c r="J49" s="399"/>
      <c r="K49" s="400"/>
    </row>
    <row r="50" spans="1:11" s="301" customFormat="1">
      <c r="A50" s="373" t="s">
        <v>158</v>
      </c>
      <c r="B50" s="374">
        <v>0</v>
      </c>
      <c r="C50" s="375">
        <v>0</v>
      </c>
      <c r="D50" s="375">
        <v>0</v>
      </c>
      <c r="E50" s="375">
        <v>0</v>
      </c>
      <c r="F50" s="376">
        <v>0</v>
      </c>
      <c r="G50" s="377">
        <v>0</v>
      </c>
      <c r="H50" s="378">
        <v>0</v>
      </c>
      <c r="I50" s="401"/>
      <c r="J50" s="399"/>
      <c r="K50" s="400"/>
    </row>
    <row r="51" spans="1:11" s="301" customFormat="1">
      <c r="A51" s="379" t="s">
        <v>159</v>
      </c>
      <c r="B51" s="380">
        <v>0</v>
      </c>
      <c r="C51" s="381">
        <v>0</v>
      </c>
      <c r="D51" s="381">
        <v>0</v>
      </c>
      <c r="E51" s="381">
        <v>0</v>
      </c>
      <c r="F51" s="382">
        <v>0</v>
      </c>
      <c r="G51" s="383">
        <v>0</v>
      </c>
      <c r="H51" s="384">
        <v>0</v>
      </c>
      <c r="I51" s="402"/>
      <c r="J51" s="403"/>
      <c r="K51" s="400"/>
    </row>
    <row r="52" spans="1:11">
      <c r="C52" s="385"/>
      <c r="D52" s="385"/>
      <c r="E52" s="385"/>
      <c r="F52" s="358"/>
      <c r="G52" s="358"/>
      <c r="H52" s="358"/>
      <c r="I52" s="385"/>
      <c r="J52" s="404"/>
      <c r="K52" s="300"/>
    </row>
  </sheetData>
  <sheetProtection sheet="1" formatCells="0" formatColumns="0" formatRows="0" insertColumns="0" insertRows="0"/>
  <mergeCells count="31">
    <mergeCell ref="A33:G33"/>
    <mergeCell ref="I2:L4"/>
    <mergeCell ref="G27:H27"/>
    <mergeCell ref="K27:L27"/>
    <mergeCell ref="H29:I29"/>
    <mergeCell ref="H30:I30"/>
    <mergeCell ref="H31:I31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K7:L7"/>
    <mergeCell ref="K8:L8"/>
    <mergeCell ref="K9:L9"/>
    <mergeCell ref="K10:L10"/>
    <mergeCell ref="A1:L1"/>
    <mergeCell ref="C2:F2"/>
    <mergeCell ref="A4:B4"/>
    <mergeCell ref="K5:L5"/>
    <mergeCell ref="K6:L6"/>
  </mergeCells>
  <pageMargins left="0.7" right="0.7" top="0.75" bottom="0.75" header="0.3" footer="0.3"/>
  <pageSetup scale="4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2"/>
  <sheetViews>
    <sheetView topLeftCell="A39" zoomScale="25" zoomScaleNormal="25" workbookViewId="0">
      <selection activeCell="F6" sqref="F6"/>
    </sheetView>
  </sheetViews>
  <sheetFormatPr defaultColWidth="9" defaultRowHeight="33.75"/>
  <cols>
    <col min="1" max="1" width="90.28515625" style="3" customWidth="1"/>
    <col min="2" max="2" width="60" style="3" customWidth="1"/>
    <col min="3" max="6" width="48" style="3" customWidth="1"/>
    <col min="7" max="7" width="59.42578125" style="3" customWidth="1"/>
    <col min="8" max="8" width="57.140625" style="3" customWidth="1"/>
    <col min="9" max="9" width="48" style="3" customWidth="1"/>
    <col min="10" max="10" width="84" style="3" customWidth="1"/>
    <col min="11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176</v>
      </c>
      <c r="C2" s="867"/>
      <c r="D2" s="867"/>
      <c r="E2" s="867"/>
      <c r="F2" s="867"/>
      <c r="G2" s="252" t="s">
        <v>107</v>
      </c>
      <c r="H2" s="697">
        <v>46236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68"/>
      <c r="B4" s="869"/>
      <c r="C4" s="14">
        <v>20</v>
      </c>
      <c r="D4" s="14">
        <v>4</v>
      </c>
      <c r="E4" s="14">
        <v>0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111" t="s">
        <v>119</v>
      </c>
      <c r="K5" s="870" t="s">
        <v>120</v>
      </c>
      <c r="L5" s="871"/>
    </row>
    <row r="6" spans="1:12" ht="152.25" customHeight="1">
      <c r="A6" s="217" t="s">
        <v>161</v>
      </c>
      <c r="B6" s="132">
        <f>'1'!I6</f>
        <v>391</v>
      </c>
      <c r="C6" s="133">
        <v>0</v>
      </c>
      <c r="D6" s="134">
        <f t="shared" ref="D6:D14" si="0">B6+C6</f>
        <v>391</v>
      </c>
      <c r="E6" s="135">
        <v>135</v>
      </c>
      <c r="F6" s="136">
        <v>18</v>
      </c>
      <c r="G6" s="137">
        <f>'1'!H6</f>
        <v>25128.5</v>
      </c>
      <c r="H6" s="138">
        <f>SUM(G6,F6)</f>
        <v>25146.5</v>
      </c>
      <c r="I6" s="165">
        <f>D6-E6</f>
        <v>256</v>
      </c>
      <c r="J6" s="166">
        <f t="shared" ref="J6:J26" si="1">E6/F6</f>
        <v>7.5</v>
      </c>
      <c r="K6" s="872"/>
      <c r="L6" s="873"/>
    </row>
    <row r="7" spans="1:12" ht="123">
      <c r="A7" s="217" t="s">
        <v>162</v>
      </c>
      <c r="B7" s="132">
        <f>'1'!I7</f>
        <v>56</v>
      </c>
      <c r="C7" s="133">
        <v>200</v>
      </c>
      <c r="D7" s="139">
        <f t="shared" si="0"/>
        <v>256</v>
      </c>
      <c r="E7" s="135">
        <v>80</v>
      </c>
      <c r="F7" s="136">
        <v>4.5</v>
      </c>
      <c r="G7" s="137">
        <f>'1'!H7</f>
        <v>1462.5</v>
      </c>
      <c r="H7" s="134">
        <f t="shared" ref="H7:H26" si="2">SUM(G7,F7)</f>
        <v>1467</v>
      </c>
      <c r="I7" s="167">
        <f t="shared" ref="I7:I26" si="3">D7-E7</f>
        <v>176</v>
      </c>
      <c r="J7" s="168">
        <f t="shared" si="1"/>
        <v>17.777777777777779</v>
      </c>
      <c r="K7" s="860"/>
      <c r="L7" s="861"/>
    </row>
    <row r="8" spans="1:12" ht="123">
      <c r="A8" s="217" t="s">
        <v>189</v>
      </c>
      <c r="B8" s="132">
        <f>'1'!I8</f>
        <v>32</v>
      </c>
      <c r="C8" s="133">
        <v>0</v>
      </c>
      <c r="D8" s="139">
        <f t="shared" si="0"/>
        <v>32</v>
      </c>
      <c r="E8" s="135">
        <v>0</v>
      </c>
      <c r="F8" s="136">
        <v>0</v>
      </c>
      <c r="G8" s="137">
        <f>'1'!H8</f>
        <v>1265</v>
      </c>
      <c r="H8" s="134">
        <f t="shared" si="2"/>
        <v>1265</v>
      </c>
      <c r="I8" s="167">
        <f t="shared" si="3"/>
        <v>32</v>
      </c>
      <c r="J8" s="168" t="e">
        <f t="shared" si="1"/>
        <v>#DIV/0!</v>
      </c>
      <c r="K8" s="862"/>
      <c r="L8" s="863"/>
    </row>
    <row r="9" spans="1:12" ht="123">
      <c r="A9" s="217" t="s">
        <v>190</v>
      </c>
      <c r="B9" s="132">
        <f>'1'!I9</f>
        <v>137</v>
      </c>
      <c r="C9" s="133">
        <v>130</v>
      </c>
      <c r="D9" s="139">
        <f t="shared" si="0"/>
        <v>267</v>
      </c>
      <c r="E9" s="135">
        <v>143</v>
      </c>
      <c r="F9" s="136">
        <v>24</v>
      </c>
      <c r="G9" s="137">
        <f>'1'!H9</f>
        <v>3150</v>
      </c>
      <c r="H9" s="134">
        <f t="shared" si="2"/>
        <v>3174</v>
      </c>
      <c r="I9" s="167">
        <f t="shared" si="3"/>
        <v>124</v>
      </c>
      <c r="J9" s="168">
        <f t="shared" si="1"/>
        <v>5.958333333333333</v>
      </c>
      <c r="K9" s="862"/>
      <c r="L9" s="863"/>
    </row>
    <row r="10" spans="1:12" ht="185.25" thickBot="1">
      <c r="A10" s="217" t="s">
        <v>165</v>
      </c>
      <c r="B10" s="132">
        <f>'1'!I10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'1'!H10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79.25" customHeight="1" thickBot="1">
      <c r="A11" s="217" t="s">
        <v>5</v>
      </c>
      <c r="B11" s="132">
        <f>'1'!I11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'1'!H11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7" t="s">
        <v>167</v>
      </c>
      <c r="B12" s="132">
        <f>'1'!I12</f>
        <v>29</v>
      </c>
      <c r="C12" s="133">
        <v>0</v>
      </c>
      <c r="D12" s="139">
        <f t="shared" si="0"/>
        <v>29</v>
      </c>
      <c r="E12" s="135">
        <v>3</v>
      </c>
      <c r="F12" s="136">
        <v>1</v>
      </c>
      <c r="G12" s="137">
        <f>'1'!H12</f>
        <v>7</v>
      </c>
      <c r="H12" s="134">
        <f t="shared" si="2"/>
        <v>8</v>
      </c>
      <c r="I12" s="167">
        <f t="shared" si="3"/>
        <v>26</v>
      </c>
      <c r="J12" s="168">
        <f t="shared" si="1"/>
        <v>3</v>
      </c>
      <c r="K12" s="862"/>
      <c r="L12" s="863"/>
    </row>
    <row r="13" spans="1:12" ht="152.25" customHeight="1">
      <c r="A13" s="217" t="s">
        <v>168</v>
      </c>
      <c r="B13" s="132">
        <f>'1'!I13</f>
        <v>0</v>
      </c>
      <c r="C13" s="133">
        <v>0</v>
      </c>
      <c r="D13" s="139">
        <f t="shared" si="0"/>
        <v>0</v>
      </c>
      <c r="E13" s="135">
        <v>0</v>
      </c>
      <c r="F13" s="136">
        <v>0</v>
      </c>
      <c r="G13" s="137">
        <f>'1'!H13</f>
        <v>0</v>
      </c>
      <c r="H13" s="134">
        <f t="shared" si="2"/>
        <v>0</v>
      </c>
      <c r="I13" s="167">
        <f t="shared" si="3"/>
        <v>0</v>
      </c>
      <c r="J13" s="168" t="e">
        <f t="shared" si="1"/>
        <v>#DIV/0!</v>
      </c>
      <c r="K13" s="862"/>
      <c r="L13" s="863"/>
    </row>
    <row r="14" spans="1:12" ht="152.25" customHeight="1">
      <c r="A14" s="219" t="s">
        <v>169</v>
      </c>
      <c r="B14" s="132">
        <f>'1'!I14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'1'!H14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52.25" customHeight="1">
      <c r="A15" s="219" t="s">
        <v>170</v>
      </c>
      <c r="B15" s="132">
        <f>'1'!I15</f>
        <v>0</v>
      </c>
      <c r="C15" s="133">
        <v>0</v>
      </c>
      <c r="D15" s="139">
        <f t="shared" ref="D15:D26" si="4">C15+B15</f>
        <v>0</v>
      </c>
      <c r="E15" s="135">
        <v>0</v>
      </c>
      <c r="F15" s="136">
        <v>0</v>
      </c>
      <c r="G15" s="137">
        <f>'1'!H15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84.5">
      <c r="A16" s="217" t="s">
        <v>171</v>
      </c>
      <c r="B16" s="132">
        <f>'1'!I16</f>
        <v>0</v>
      </c>
      <c r="C16" s="133">
        <v>0</v>
      </c>
      <c r="D16" s="139">
        <f t="shared" si="4"/>
        <v>0</v>
      </c>
      <c r="E16" s="135">
        <v>0</v>
      </c>
      <c r="F16" s="136">
        <v>0</v>
      </c>
      <c r="G16" s="137">
        <f>'1'!H16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52.25" customHeight="1" thickBot="1">
      <c r="A17" s="287" t="s">
        <v>11</v>
      </c>
      <c r="B17" s="132">
        <f>'1'!I17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'1'!H17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hidden="1" customHeight="1">
      <c r="A18" s="197"/>
      <c r="B18" s="221">
        <f>'1'!I18</f>
        <v>0</v>
      </c>
      <c r="C18" s="222"/>
      <c r="D18" s="223">
        <f t="shared" si="4"/>
        <v>0</v>
      </c>
      <c r="E18" s="224"/>
      <c r="F18" s="136">
        <v>0</v>
      </c>
      <c r="G18" s="226">
        <f>'1'!H18</f>
        <v>0</v>
      </c>
      <c r="H18" s="227">
        <f t="shared" si="2"/>
        <v>0</v>
      </c>
      <c r="I18" s="245">
        <f t="shared" si="3"/>
        <v>0</v>
      </c>
      <c r="J18" s="296" t="e">
        <f t="shared" si="1"/>
        <v>#DIV/0!</v>
      </c>
      <c r="K18" s="862"/>
      <c r="L18" s="863"/>
    </row>
    <row r="19" spans="1:12" ht="152.25" hidden="1" customHeight="1">
      <c r="A19" s="197"/>
      <c r="B19" s="221">
        <f>'1'!I19</f>
        <v>0</v>
      </c>
      <c r="C19" s="222"/>
      <c r="D19" s="223">
        <f t="shared" si="4"/>
        <v>0</v>
      </c>
      <c r="E19" s="224"/>
      <c r="F19" s="136">
        <v>0</v>
      </c>
      <c r="G19" s="226">
        <f>'1'!H19</f>
        <v>0</v>
      </c>
      <c r="H19" s="227">
        <f t="shared" si="2"/>
        <v>0</v>
      </c>
      <c r="I19" s="245">
        <f t="shared" si="3"/>
        <v>0</v>
      </c>
      <c r="J19" s="296" t="e">
        <f t="shared" si="1"/>
        <v>#DIV/0!</v>
      </c>
      <c r="K19" s="862"/>
      <c r="L19" s="863"/>
    </row>
    <row r="20" spans="1:12" ht="152.25" hidden="1" customHeight="1">
      <c r="A20" s="197"/>
      <c r="B20" s="221">
        <f>'1'!I20</f>
        <v>0</v>
      </c>
      <c r="C20" s="222"/>
      <c r="D20" s="223">
        <f t="shared" si="4"/>
        <v>0</v>
      </c>
      <c r="E20" s="224"/>
      <c r="F20" s="136">
        <v>0</v>
      </c>
      <c r="G20" s="226">
        <f>'1'!H20</f>
        <v>0</v>
      </c>
      <c r="H20" s="227">
        <f t="shared" si="2"/>
        <v>0</v>
      </c>
      <c r="I20" s="245">
        <f t="shared" si="3"/>
        <v>0</v>
      </c>
      <c r="J20" s="296" t="e">
        <f t="shared" si="1"/>
        <v>#DIV/0!</v>
      </c>
      <c r="K20" s="862"/>
      <c r="L20" s="863"/>
    </row>
    <row r="21" spans="1:12" ht="152.25" hidden="1" customHeight="1">
      <c r="A21" s="197"/>
      <c r="B21" s="221">
        <f>'1'!I21</f>
        <v>0</v>
      </c>
      <c r="C21" s="222"/>
      <c r="D21" s="223">
        <f t="shared" si="4"/>
        <v>0</v>
      </c>
      <c r="E21" s="224"/>
      <c r="F21" s="136">
        <v>0</v>
      </c>
      <c r="G21" s="226">
        <f>'1'!H21</f>
        <v>0</v>
      </c>
      <c r="H21" s="227">
        <f t="shared" si="2"/>
        <v>0</v>
      </c>
      <c r="I21" s="245">
        <f t="shared" si="3"/>
        <v>0</v>
      </c>
      <c r="J21" s="296" t="e">
        <f t="shared" si="1"/>
        <v>#DIV/0!</v>
      </c>
      <c r="K21" s="862"/>
      <c r="L21" s="863"/>
    </row>
    <row r="22" spans="1:12" ht="152.25" hidden="1" customHeight="1">
      <c r="A22" s="197"/>
      <c r="B22" s="221">
        <f>'1'!I22</f>
        <v>0</v>
      </c>
      <c r="C22" s="228"/>
      <c r="D22" s="223">
        <f t="shared" si="4"/>
        <v>0</v>
      </c>
      <c r="E22" s="229"/>
      <c r="F22" s="136">
        <v>0</v>
      </c>
      <c r="G22" s="226">
        <f>'1'!H22</f>
        <v>0</v>
      </c>
      <c r="H22" s="227">
        <f t="shared" si="2"/>
        <v>0</v>
      </c>
      <c r="I22" s="245">
        <f t="shared" si="3"/>
        <v>0</v>
      </c>
      <c r="J22" s="296" t="e">
        <f t="shared" si="1"/>
        <v>#DIV/0!</v>
      </c>
      <c r="K22" s="862"/>
      <c r="L22" s="863"/>
    </row>
    <row r="23" spans="1:12" ht="152.25" hidden="1" customHeight="1">
      <c r="A23" s="197"/>
      <c r="B23" s="221">
        <f>'1'!I23</f>
        <v>0</v>
      </c>
      <c r="C23" s="228"/>
      <c r="D23" s="223">
        <f t="shared" si="4"/>
        <v>0</v>
      </c>
      <c r="E23" s="229"/>
      <c r="F23" s="136">
        <v>0</v>
      </c>
      <c r="G23" s="226">
        <f>'1'!H23</f>
        <v>0</v>
      </c>
      <c r="H23" s="227">
        <f t="shared" si="2"/>
        <v>0</v>
      </c>
      <c r="I23" s="245">
        <f t="shared" si="3"/>
        <v>0</v>
      </c>
      <c r="J23" s="296" t="e">
        <f t="shared" si="1"/>
        <v>#DIV/0!</v>
      </c>
      <c r="K23" s="862"/>
      <c r="L23" s="863"/>
    </row>
    <row r="24" spans="1:12" ht="152.25" hidden="1" customHeight="1">
      <c r="A24" s="197"/>
      <c r="B24" s="221">
        <f>'1'!I24</f>
        <v>0</v>
      </c>
      <c r="C24" s="228"/>
      <c r="D24" s="223">
        <f t="shared" si="4"/>
        <v>0</v>
      </c>
      <c r="E24" s="229"/>
      <c r="F24" s="136">
        <v>0</v>
      </c>
      <c r="G24" s="226">
        <f>'1'!H24</f>
        <v>0</v>
      </c>
      <c r="H24" s="227">
        <f t="shared" si="2"/>
        <v>0</v>
      </c>
      <c r="I24" s="245">
        <f t="shared" si="3"/>
        <v>0</v>
      </c>
      <c r="J24" s="296" t="e">
        <f t="shared" si="1"/>
        <v>#DIV/0!</v>
      </c>
      <c r="K24" s="862"/>
      <c r="L24" s="863"/>
    </row>
    <row r="25" spans="1:12" ht="152.25" hidden="1" customHeight="1">
      <c r="A25" s="197"/>
      <c r="B25" s="221">
        <f>'1'!I25</f>
        <v>0</v>
      </c>
      <c r="C25" s="231"/>
      <c r="D25" s="232">
        <f t="shared" si="4"/>
        <v>0</v>
      </c>
      <c r="E25" s="233"/>
      <c r="F25" s="136">
        <v>0</v>
      </c>
      <c r="G25" s="226">
        <f>'1'!H25</f>
        <v>0</v>
      </c>
      <c r="H25" s="204">
        <f t="shared" si="2"/>
        <v>0</v>
      </c>
      <c r="I25" s="247">
        <f t="shared" si="3"/>
        <v>0</v>
      </c>
      <c r="J25" s="297" t="e">
        <f t="shared" si="1"/>
        <v>#DIV/0!</v>
      </c>
      <c r="K25" s="862"/>
      <c r="L25" s="863"/>
    </row>
    <row r="26" spans="1:12" ht="152.25" hidden="1" customHeight="1">
      <c r="A26" s="198"/>
      <c r="B26" s="221">
        <f>'1'!I26</f>
        <v>0</v>
      </c>
      <c r="C26" s="235"/>
      <c r="D26" s="232">
        <f t="shared" si="4"/>
        <v>0</v>
      </c>
      <c r="E26" s="235"/>
      <c r="F26" s="136">
        <v>0</v>
      </c>
      <c r="G26" s="226">
        <f>'1'!H26</f>
        <v>0</v>
      </c>
      <c r="H26" s="204">
        <f t="shared" si="2"/>
        <v>0</v>
      </c>
      <c r="I26" s="247">
        <f t="shared" si="3"/>
        <v>0</v>
      </c>
      <c r="J26" s="297" t="e">
        <f t="shared" si="1"/>
        <v>#DIV/0!</v>
      </c>
      <c r="K26" s="214"/>
      <c r="L26" s="215"/>
    </row>
    <row r="27" spans="1:12" ht="152.25" customHeight="1" thickBot="1">
      <c r="A27" s="199" t="s">
        <v>114</v>
      </c>
      <c r="B27" s="290"/>
      <c r="C27" s="40">
        <f>SUM(C6:C25)</f>
        <v>330</v>
      </c>
      <c r="D27" s="40">
        <f>SUM(D6:D25)</f>
        <v>1001</v>
      </c>
      <c r="E27" s="42">
        <f>SUM(E6:E25)</f>
        <v>361</v>
      </c>
      <c r="F27" s="40">
        <f>SUM(F6:F25)</f>
        <v>47.5</v>
      </c>
      <c r="G27" s="883"/>
      <c r="H27" s="884"/>
      <c r="I27" s="40">
        <f>SUM(I6:I25)</f>
        <v>640</v>
      </c>
      <c r="J27" s="111"/>
      <c r="K27" s="885"/>
      <c r="L27" s="886"/>
    </row>
    <row r="28" spans="1:12" ht="152.25" customHeight="1" thickBot="1">
      <c r="A28" s="43"/>
      <c r="B28" s="44"/>
      <c r="C28" s="44"/>
      <c r="D28" s="44"/>
      <c r="E28" s="44"/>
      <c r="F28" s="44"/>
      <c r="G28" s="44"/>
      <c r="H28" s="44"/>
      <c r="I28" s="44"/>
      <c r="J28" s="298"/>
    </row>
    <row r="29" spans="1:12" ht="191.25" customHeight="1">
      <c r="A29" s="237"/>
      <c r="B29" s="217" t="s">
        <v>126</v>
      </c>
      <c r="C29" s="217" t="s">
        <v>127</v>
      </c>
      <c r="D29" s="217" t="s">
        <v>128</v>
      </c>
      <c r="E29" s="217" t="s">
        <v>129</v>
      </c>
      <c r="F29" s="217" t="s">
        <v>130</v>
      </c>
      <c r="G29" s="217" t="s">
        <v>131</v>
      </c>
      <c r="H29" s="887" t="s">
        <v>120</v>
      </c>
      <c r="I29" s="888"/>
    </row>
    <row r="30" spans="1:12" ht="152.25" customHeight="1">
      <c r="A30" s="217" t="s">
        <v>132</v>
      </c>
      <c r="B30" s="153">
        <f>'1'!G30</f>
        <v>440</v>
      </c>
      <c r="C30" s="154">
        <v>0</v>
      </c>
      <c r="D30" s="17">
        <f>SUM(B30:C30)</f>
        <v>440</v>
      </c>
      <c r="E30" s="155">
        <f>C27</f>
        <v>330</v>
      </c>
      <c r="F30" s="17">
        <f>E27</f>
        <v>361</v>
      </c>
      <c r="G30" s="156">
        <f>D30-E30</f>
        <v>110</v>
      </c>
      <c r="H30" s="889"/>
      <c r="I30" s="890"/>
    </row>
    <row r="31" spans="1:12" ht="152.25" customHeight="1">
      <c r="A31" s="240" t="s">
        <v>133</v>
      </c>
      <c r="B31" s="52">
        <v>0</v>
      </c>
      <c r="C31" s="154">
        <v>0</v>
      </c>
      <c r="D31" s="17">
        <f>SUM(B31,C31)</f>
        <v>0</v>
      </c>
      <c r="E31" s="157">
        <v>0</v>
      </c>
      <c r="F31" s="29">
        <v>0</v>
      </c>
      <c r="G31" s="156">
        <f>D31-F31</f>
        <v>0</v>
      </c>
      <c r="H31" s="891"/>
      <c r="I31" s="892"/>
      <c r="J31" s="121"/>
    </row>
    <row r="32" spans="1:12" s="1" customFormat="1" ht="88.5" customHeight="1">
      <c r="A32" s="55"/>
      <c r="B32" s="44"/>
      <c r="C32" s="56"/>
      <c r="D32" s="56"/>
      <c r="E32" s="56"/>
      <c r="F32" s="44"/>
      <c r="G32" s="57"/>
      <c r="H32" s="58"/>
      <c r="I32" s="58"/>
      <c r="J32" s="122"/>
    </row>
    <row r="33" spans="1:11" ht="114" customHeight="1">
      <c r="A33" s="874" t="s">
        <v>134</v>
      </c>
      <c r="B33" s="875"/>
      <c r="C33" s="875"/>
      <c r="D33" s="875"/>
      <c r="E33" s="875"/>
      <c r="F33" s="875"/>
      <c r="G33" s="876"/>
      <c r="H33" s="59"/>
      <c r="I33" s="59"/>
      <c r="J33" s="84"/>
    </row>
    <row r="34" spans="1:11" ht="118.5" customHeight="1">
      <c r="A34" s="200" t="s">
        <v>135</v>
      </c>
      <c r="B34" s="201" t="s">
        <v>136</v>
      </c>
      <c r="C34" s="202" t="s">
        <v>127</v>
      </c>
      <c r="D34" s="200" t="s">
        <v>137</v>
      </c>
      <c r="E34" s="203" t="s">
        <v>138</v>
      </c>
      <c r="F34" s="204" t="s">
        <v>131</v>
      </c>
      <c r="G34" s="204" t="s">
        <v>42</v>
      </c>
      <c r="H34" s="59"/>
      <c r="I34" s="59"/>
      <c r="J34" s="123"/>
    </row>
    <row r="35" spans="1:11" ht="118.5" customHeight="1">
      <c r="A35" s="205" t="s">
        <v>139</v>
      </c>
      <c r="B35" s="158">
        <f>'1'!F35</f>
        <v>107</v>
      </c>
      <c r="C35" s="159"/>
      <c r="D35" s="160">
        <f>SUM(B35:C35)</f>
        <v>107</v>
      </c>
      <c r="E35" s="161"/>
      <c r="F35" s="160">
        <f>D35-E35</f>
        <v>107</v>
      </c>
      <c r="G35" s="69"/>
      <c r="H35" s="59"/>
      <c r="I35" s="59"/>
    </row>
    <row r="36" spans="1:11" ht="118.5" customHeight="1">
      <c r="A36" s="206" t="s">
        <v>140</v>
      </c>
      <c r="B36" s="158">
        <f>'1'!F36</f>
        <v>420</v>
      </c>
      <c r="C36" s="159"/>
      <c r="D36" s="162">
        <f t="shared" ref="D36:D46" si="5">SUM(B36:C36)</f>
        <v>420</v>
      </c>
      <c r="E36" s="161"/>
      <c r="F36" s="162">
        <f t="shared" ref="F36:F46" si="6">D36-E36</f>
        <v>420</v>
      </c>
      <c r="G36" s="190"/>
      <c r="H36" s="59"/>
      <c r="I36" s="59"/>
    </row>
    <row r="37" spans="1:11" ht="118.5" customHeight="1">
      <c r="A37" s="206" t="s">
        <v>141</v>
      </c>
      <c r="B37" s="158">
        <f>'1'!F37</f>
        <v>320</v>
      </c>
      <c r="C37" s="159"/>
      <c r="D37" s="162">
        <f t="shared" si="5"/>
        <v>320</v>
      </c>
      <c r="E37" s="161"/>
      <c r="F37" s="162">
        <f t="shared" si="6"/>
        <v>320</v>
      </c>
      <c r="G37" s="207"/>
      <c r="H37" s="74"/>
      <c r="I37" s="74"/>
    </row>
    <row r="38" spans="1:11" ht="118.5" customHeight="1">
      <c r="A38" s="206" t="s">
        <v>142</v>
      </c>
      <c r="B38" s="158">
        <f>'1'!F38</f>
        <v>105</v>
      </c>
      <c r="C38" s="159"/>
      <c r="D38" s="162">
        <f t="shared" si="5"/>
        <v>105</v>
      </c>
      <c r="E38" s="161"/>
      <c r="F38" s="162">
        <f t="shared" si="6"/>
        <v>105</v>
      </c>
      <c r="G38" s="190"/>
      <c r="H38" s="59"/>
      <c r="I38" s="59"/>
    </row>
    <row r="39" spans="1:11" ht="118.5" customHeight="1">
      <c r="A39" s="206" t="s">
        <v>143</v>
      </c>
      <c r="B39" s="158">
        <f>'1'!F39</f>
        <v>0</v>
      </c>
      <c r="C39" s="159"/>
      <c r="D39" s="162">
        <f t="shared" si="5"/>
        <v>0</v>
      </c>
      <c r="E39" s="161"/>
      <c r="F39" s="162">
        <f t="shared" si="6"/>
        <v>0</v>
      </c>
      <c r="G39" s="190"/>
      <c r="H39" s="59"/>
      <c r="I39" s="59"/>
    </row>
    <row r="40" spans="1:11" ht="118.5" customHeight="1">
      <c r="A40" s="206" t="s">
        <v>144</v>
      </c>
      <c r="B40" s="158">
        <f>'1'!F40</f>
        <v>0</v>
      </c>
      <c r="C40" s="159"/>
      <c r="D40" s="162">
        <f t="shared" si="5"/>
        <v>0</v>
      </c>
      <c r="E40" s="161"/>
      <c r="F40" s="162">
        <f t="shared" si="6"/>
        <v>0</v>
      </c>
      <c r="G40" s="190"/>
      <c r="H40" s="59"/>
      <c r="I40" s="59"/>
    </row>
    <row r="41" spans="1:11" ht="118.5" customHeight="1">
      <c r="A41" s="206" t="s">
        <v>145</v>
      </c>
      <c r="B41" s="158">
        <f>'1'!F41</f>
        <v>190</v>
      </c>
      <c r="C41" s="159"/>
      <c r="D41" s="162">
        <f t="shared" si="5"/>
        <v>190</v>
      </c>
      <c r="E41" s="161"/>
      <c r="F41" s="162">
        <f t="shared" si="6"/>
        <v>190</v>
      </c>
      <c r="G41" s="190"/>
      <c r="H41" s="59"/>
      <c r="I41" s="59"/>
    </row>
    <row r="42" spans="1:11" ht="118.5" customHeight="1">
      <c r="A42" s="206" t="s">
        <v>86</v>
      </c>
      <c r="B42" s="158">
        <f>'1'!F42</f>
        <v>0</v>
      </c>
      <c r="C42" s="159"/>
      <c r="D42" s="162">
        <f t="shared" si="5"/>
        <v>0</v>
      </c>
      <c r="E42" s="161"/>
      <c r="F42" s="162">
        <f t="shared" si="6"/>
        <v>0</v>
      </c>
      <c r="G42" s="208"/>
      <c r="H42" s="76"/>
      <c r="I42" s="59"/>
      <c r="J42" s="124"/>
    </row>
    <row r="43" spans="1:11" ht="118.5" customHeight="1">
      <c r="A43" s="206" t="s">
        <v>146</v>
      </c>
      <c r="B43" s="158">
        <f>'1'!F43</f>
        <v>20</v>
      </c>
      <c r="C43" s="159"/>
      <c r="D43" s="162">
        <f t="shared" si="5"/>
        <v>20</v>
      </c>
      <c r="E43" s="161"/>
      <c r="F43" s="162">
        <f t="shared" si="6"/>
        <v>20</v>
      </c>
      <c r="G43" s="207"/>
      <c r="H43" s="74"/>
      <c r="I43" s="74"/>
    </row>
    <row r="44" spans="1:11" ht="118.5" customHeight="1">
      <c r="A44" s="206" t="s">
        <v>147</v>
      </c>
      <c r="B44" s="158">
        <f>'1'!F44</f>
        <v>0</v>
      </c>
      <c r="C44" s="159"/>
      <c r="D44" s="162">
        <f t="shared" si="5"/>
        <v>0</v>
      </c>
      <c r="E44" s="161"/>
      <c r="F44" s="162">
        <f t="shared" si="6"/>
        <v>0</v>
      </c>
      <c r="G44" s="209"/>
      <c r="H44" s="57"/>
      <c r="I44" s="76"/>
    </row>
    <row r="45" spans="1:11" ht="118.5" customHeight="1">
      <c r="A45" s="210" t="s">
        <v>148</v>
      </c>
      <c r="B45" s="158">
        <f>'1'!F45</f>
        <v>0</v>
      </c>
      <c r="C45" s="159"/>
      <c r="D45" s="162">
        <f t="shared" si="5"/>
        <v>0</v>
      </c>
      <c r="E45" s="161"/>
      <c r="F45" s="162">
        <f t="shared" si="6"/>
        <v>0</v>
      </c>
      <c r="G45" s="211"/>
      <c r="H45" s="57"/>
      <c r="I45" s="76"/>
    </row>
    <row r="46" spans="1:11" ht="83.25" customHeight="1">
      <c r="A46" s="212" t="s">
        <v>92</v>
      </c>
      <c r="B46" s="158">
        <f>'1'!F46</f>
        <v>0</v>
      </c>
      <c r="C46" s="159"/>
      <c r="D46" s="163">
        <f t="shared" si="5"/>
        <v>0</v>
      </c>
      <c r="E46" s="161"/>
      <c r="F46" s="163">
        <f t="shared" si="6"/>
        <v>0</v>
      </c>
      <c r="G46" s="82"/>
      <c r="H46" s="57"/>
      <c r="I46" s="59"/>
    </row>
    <row r="47" spans="1:11" ht="137.25" customHeight="1">
      <c r="A47" s="83"/>
      <c r="B47" s="84"/>
      <c r="C47" s="84"/>
      <c r="D47" s="84"/>
      <c r="E47" s="84"/>
      <c r="F47" s="85"/>
      <c r="G47" s="86"/>
      <c r="H47" s="57"/>
      <c r="I47" s="110"/>
      <c r="J47" s="57"/>
    </row>
    <row r="48" spans="1:11" ht="152.25" customHeight="1">
      <c r="A48" s="87" t="s">
        <v>149</v>
      </c>
      <c r="B48" s="88" t="s">
        <v>150</v>
      </c>
      <c r="C48" s="89" t="s">
        <v>151</v>
      </c>
      <c r="D48" s="89" t="s">
        <v>152</v>
      </c>
      <c r="E48" s="90" t="s">
        <v>153</v>
      </c>
      <c r="F48" s="89" t="s">
        <v>154</v>
      </c>
      <c r="G48" s="91" t="s">
        <v>155</v>
      </c>
      <c r="H48" s="89" t="s">
        <v>156</v>
      </c>
      <c r="I48" s="88" t="s">
        <v>42</v>
      </c>
      <c r="J48" s="56"/>
      <c r="K48" s="1"/>
    </row>
    <row r="49" spans="1:11" s="2" customFormat="1" ht="104.25" customHeight="1">
      <c r="A49" s="92" t="s">
        <v>157</v>
      </c>
      <c r="B49" s="93">
        <v>0</v>
      </c>
      <c r="C49" s="94">
        <v>0</v>
      </c>
      <c r="D49" s="94">
        <v>0</v>
      </c>
      <c r="E49" s="94">
        <v>0</v>
      </c>
      <c r="F49" s="95">
        <v>0</v>
      </c>
      <c r="G49" s="96">
        <v>0</v>
      </c>
      <c r="H49" s="97">
        <v>0</v>
      </c>
      <c r="I49" s="125"/>
      <c r="J49" s="126"/>
      <c r="K49" s="127"/>
    </row>
    <row r="50" spans="1:11" s="2" customFormat="1" ht="113.25" customHeight="1">
      <c r="A50" s="98" t="s">
        <v>158</v>
      </c>
      <c r="B50" s="99">
        <v>0</v>
      </c>
      <c r="C50" s="100">
        <v>0</v>
      </c>
      <c r="D50" s="100">
        <v>0</v>
      </c>
      <c r="E50" s="100">
        <v>0</v>
      </c>
      <c r="F50" s="101">
        <v>0</v>
      </c>
      <c r="G50" s="102">
        <v>0</v>
      </c>
      <c r="H50" s="103">
        <v>0</v>
      </c>
      <c r="I50" s="128"/>
      <c r="J50" s="126"/>
      <c r="K50" s="127"/>
    </row>
    <row r="51" spans="1:11" s="2" customFormat="1" ht="98.25" customHeight="1">
      <c r="A51" s="104" t="s">
        <v>159</v>
      </c>
      <c r="B51" s="105">
        <v>0</v>
      </c>
      <c r="C51" s="106">
        <v>0</v>
      </c>
      <c r="D51" s="106">
        <v>0</v>
      </c>
      <c r="E51" s="106">
        <v>0</v>
      </c>
      <c r="F51" s="107">
        <v>0</v>
      </c>
      <c r="G51" s="108">
        <v>0</v>
      </c>
      <c r="H51" s="109">
        <v>0</v>
      </c>
      <c r="I51" s="129"/>
      <c r="J51" s="130"/>
      <c r="K51" s="127"/>
    </row>
    <row r="52" spans="1:11">
      <c r="C52" s="110"/>
      <c r="D52" s="110"/>
      <c r="E52" s="110"/>
      <c r="F52" s="84"/>
      <c r="G52" s="84"/>
      <c r="H52" s="84"/>
      <c r="I52" s="110"/>
      <c r="J52" s="131"/>
      <c r="K52" s="1"/>
    </row>
  </sheetData>
  <sheetProtection sheet="1" formatCells="0" formatColumns="0" formatRows="0" insertColumns="0" insertRows="0"/>
  <mergeCells count="31">
    <mergeCell ref="A33:G33"/>
    <mergeCell ref="I2:L4"/>
    <mergeCell ref="G27:H27"/>
    <mergeCell ref="K27:L27"/>
    <mergeCell ref="H29:I29"/>
    <mergeCell ref="H30:I30"/>
    <mergeCell ref="H31:I31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K7:L7"/>
    <mergeCell ref="K8:L8"/>
    <mergeCell ref="K9:L9"/>
    <mergeCell ref="K10:L10"/>
    <mergeCell ref="A1:L1"/>
    <mergeCell ref="C2:F2"/>
    <mergeCell ref="A4:B4"/>
    <mergeCell ref="K5:L5"/>
    <mergeCell ref="K6:L6"/>
  </mergeCells>
  <pageMargins left="0.51181102362204722" right="0.51181102362204722" top="0.55118110236220474" bottom="0.55118110236220474" header="0.31496062992125984" footer="0.31496062992125984"/>
  <pageSetup scale="1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2"/>
  <sheetViews>
    <sheetView topLeftCell="A30" zoomScale="25" zoomScaleNormal="25" workbookViewId="0">
      <selection activeCell="E35" sqref="E35"/>
    </sheetView>
  </sheetViews>
  <sheetFormatPr defaultColWidth="9" defaultRowHeight="33.75"/>
  <cols>
    <col min="1" max="1" width="80" style="3" customWidth="1"/>
    <col min="2" max="2" width="61.28515625" style="3" customWidth="1"/>
    <col min="3" max="5" width="48" style="3" customWidth="1"/>
    <col min="6" max="6" width="58.85546875" style="3" customWidth="1"/>
    <col min="7" max="7" width="76" style="3" customWidth="1"/>
    <col min="8" max="8" width="70.28515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176</v>
      </c>
      <c r="C2" s="893"/>
      <c r="D2" s="893"/>
      <c r="E2" s="893"/>
      <c r="F2" s="893"/>
      <c r="G2" s="252" t="s">
        <v>107</v>
      </c>
      <c r="H2" s="7">
        <v>46237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9" t="s">
        <v>13</v>
      </c>
      <c r="D3" s="10" t="s">
        <v>14</v>
      </c>
      <c r="E3" s="11" t="s">
        <v>15</v>
      </c>
      <c r="F3" s="12" t="s">
        <v>109</v>
      </c>
      <c r="G3" s="8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7.5</v>
      </c>
      <c r="D4" s="14">
        <v>1</v>
      </c>
      <c r="E4" s="14">
        <v>15.5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>
      <c r="A6" s="217" t="s">
        <v>161</v>
      </c>
      <c r="B6" s="132">
        <f>'2'!I6</f>
        <v>256</v>
      </c>
      <c r="C6" s="133">
        <v>0</v>
      </c>
      <c r="D6" s="134">
        <f t="shared" ref="D6:D14" si="0">B6+C6</f>
        <v>256</v>
      </c>
      <c r="E6" s="135">
        <v>58</v>
      </c>
      <c r="F6" s="136">
        <v>10</v>
      </c>
      <c r="G6" s="137">
        <f>'2'!H6</f>
        <v>25146.5</v>
      </c>
      <c r="H6" s="138">
        <f>SUM(G6,F6)</f>
        <v>25156.5</v>
      </c>
      <c r="I6" s="165">
        <f>D6-E6</f>
        <v>198</v>
      </c>
      <c r="J6" s="166">
        <f t="shared" ref="J6:J26" si="1">E6/F6</f>
        <v>5.8</v>
      </c>
      <c r="K6" s="896"/>
      <c r="L6" s="897"/>
    </row>
    <row r="7" spans="1:12" ht="152.25" customHeight="1">
      <c r="A7" s="217" t="s">
        <v>162</v>
      </c>
      <c r="B7" s="132">
        <f>'2'!I7</f>
        <v>176</v>
      </c>
      <c r="C7" s="133">
        <v>0</v>
      </c>
      <c r="D7" s="139">
        <f t="shared" si="0"/>
        <v>176</v>
      </c>
      <c r="E7" s="135">
        <v>0</v>
      </c>
      <c r="F7" s="136">
        <v>0</v>
      </c>
      <c r="G7" s="137">
        <f>'2'!H7</f>
        <v>1467</v>
      </c>
      <c r="H7" s="134">
        <f t="shared" ref="H7:H26" si="2">SUM(G7,F7)</f>
        <v>1467</v>
      </c>
      <c r="I7" s="167">
        <f t="shared" ref="I7:I26" si="3">D7-E7</f>
        <v>176</v>
      </c>
      <c r="J7" s="168" t="e">
        <f t="shared" si="1"/>
        <v>#DIV/0!</v>
      </c>
      <c r="K7" s="898"/>
      <c r="L7" s="899"/>
    </row>
    <row r="8" spans="1:12" ht="246">
      <c r="A8" s="217" t="s">
        <v>163</v>
      </c>
      <c r="B8" s="132">
        <f>'2'!I8</f>
        <v>32</v>
      </c>
      <c r="C8" s="133">
        <v>0</v>
      </c>
      <c r="D8" s="139">
        <f t="shared" si="0"/>
        <v>32</v>
      </c>
      <c r="E8" s="135">
        <v>0</v>
      </c>
      <c r="F8" s="136">
        <v>0</v>
      </c>
      <c r="G8" s="137">
        <f>'2'!H8</f>
        <v>1265</v>
      </c>
      <c r="H8" s="134">
        <f t="shared" si="2"/>
        <v>1265</v>
      </c>
      <c r="I8" s="167">
        <f t="shared" si="3"/>
        <v>32</v>
      </c>
      <c r="J8" s="168" t="e">
        <f t="shared" si="1"/>
        <v>#DIV/0!</v>
      </c>
      <c r="K8" s="862"/>
      <c r="L8" s="863"/>
    </row>
    <row r="9" spans="1:12" ht="246">
      <c r="A9" s="217" t="s">
        <v>164</v>
      </c>
      <c r="B9" s="132">
        <f>'2'!I9</f>
        <v>124</v>
      </c>
      <c r="C9" s="133">
        <v>145</v>
      </c>
      <c r="D9" s="139">
        <f t="shared" si="0"/>
        <v>269</v>
      </c>
      <c r="E9" s="135">
        <v>150</v>
      </c>
      <c r="F9" s="136">
        <v>24</v>
      </c>
      <c r="G9" s="137">
        <f>'2'!H9</f>
        <v>3174</v>
      </c>
      <c r="H9" s="134">
        <f t="shared" si="2"/>
        <v>3198</v>
      </c>
      <c r="I9" s="167">
        <f t="shared" si="3"/>
        <v>119</v>
      </c>
      <c r="J9" s="168">
        <f t="shared" si="1"/>
        <v>6.25</v>
      </c>
      <c r="K9" s="862"/>
      <c r="L9" s="863"/>
    </row>
    <row r="10" spans="1:12" ht="185.25" thickBot="1">
      <c r="A10" s="217" t="s">
        <v>165</v>
      </c>
      <c r="B10" s="132">
        <f>'2'!I10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'2'!H10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73.25" customHeight="1" thickBot="1">
      <c r="A11" s="217" t="s">
        <v>5</v>
      </c>
      <c r="B11" s="132">
        <f>'2'!I11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'2'!H11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7" t="s">
        <v>167</v>
      </c>
      <c r="B12" s="132">
        <f>'2'!I12</f>
        <v>26</v>
      </c>
      <c r="C12" s="133">
        <v>0</v>
      </c>
      <c r="D12" s="139">
        <f t="shared" si="0"/>
        <v>26</v>
      </c>
      <c r="E12" s="135">
        <v>0</v>
      </c>
      <c r="F12" s="136">
        <v>0</v>
      </c>
      <c r="G12" s="137">
        <f>'2'!H12</f>
        <v>8</v>
      </c>
      <c r="H12" s="134">
        <f t="shared" si="2"/>
        <v>8</v>
      </c>
      <c r="I12" s="167">
        <f t="shared" si="3"/>
        <v>26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168</v>
      </c>
      <c r="B13" s="132">
        <f>'2'!I13</f>
        <v>0</v>
      </c>
      <c r="C13" s="133">
        <v>0</v>
      </c>
      <c r="D13" s="139">
        <f t="shared" si="0"/>
        <v>0</v>
      </c>
      <c r="E13" s="135">
        <v>0</v>
      </c>
      <c r="F13" s="136">
        <v>0</v>
      </c>
      <c r="G13" s="137">
        <f>'2'!H13</f>
        <v>0</v>
      </c>
      <c r="H13" s="134">
        <f t="shared" si="2"/>
        <v>0</v>
      </c>
      <c r="I13" s="167">
        <f t="shared" si="3"/>
        <v>0</v>
      </c>
      <c r="J13" s="168" t="e">
        <f t="shared" si="1"/>
        <v>#DIV/0!</v>
      </c>
      <c r="K13" s="862"/>
      <c r="L13" s="863"/>
    </row>
    <row r="14" spans="1:12" ht="184.5">
      <c r="A14" s="219" t="s">
        <v>169</v>
      </c>
      <c r="B14" s="132">
        <f>'2'!I14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'2'!H14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84.5">
      <c r="A15" s="217" t="s">
        <v>170</v>
      </c>
      <c r="B15" s="132">
        <f>'2'!I15</f>
        <v>0</v>
      </c>
      <c r="C15" s="133">
        <v>0</v>
      </c>
      <c r="D15" s="139">
        <f t="shared" ref="D15:D26" si="4">C15+B15</f>
        <v>0</v>
      </c>
      <c r="E15" s="135">
        <v>0</v>
      </c>
      <c r="F15" s="136">
        <v>0</v>
      </c>
      <c r="G15" s="137">
        <f>'2'!H15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84.5">
      <c r="A16" s="217" t="s">
        <v>171</v>
      </c>
      <c r="B16" s="132">
        <f>'2'!I16</f>
        <v>0</v>
      </c>
      <c r="C16" s="133">
        <v>0</v>
      </c>
      <c r="D16" s="139">
        <f t="shared" si="4"/>
        <v>0</v>
      </c>
      <c r="E16" s="135">
        <v>0</v>
      </c>
      <c r="F16" s="136">
        <v>0</v>
      </c>
      <c r="G16" s="137">
        <f>'2'!H16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52.25" customHeight="1" thickBot="1">
      <c r="A17" s="287" t="s">
        <v>11</v>
      </c>
      <c r="B17" s="132">
        <f>'2'!I17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'2'!H17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hidden="1" customHeight="1">
      <c r="A18" s="197"/>
      <c r="B18" s="255">
        <f>'2'!I18</f>
        <v>0</v>
      </c>
      <c r="C18" s="256"/>
      <c r="D18" s="257">
        <f t="shared" si="4"/>
        <v>0</v>
      </c>
      <c r="E18" s="258"/>
      <c r="F18" s="259"/>
      <c r="G18" s="260">
        <f>'2'!H18</f>
        <v>0</v>
      </c>
      <c r="H18" s="261">
        <f t="shared" si="2"/>
        <v>0</v>
      </c>
      <c r="I18" s="273">
        <f t="shared" si="3"/>
        <v>0</v>
      </c>
      <c r="J18" s="274" t="e">
        <f t="shared" si="1"/>
        <v>#DIV/0!</v>
      </c>
      <c r="K18" s="862"/>
      <c r="L18" s="863"/>
    </row>
    <row r="19" spans="1:12" ht="152.25" hidden="1" customHeight="1">
      <c r="A19" s="197"/>
      <c r="B19" s="255">
        <f>'2'!I19</f>
        <v>0</v>
      </c>
      <c r="C19" s="256"/>
      <c r="D19" s="257">
        <f t="shared" si="4"/>
        <v>0</v>
      </c>
      <c r="E19" s="258"/>
      <c r="F19" s="259"/>
      <c r="G19" s="260">
        <f>'2'!H19</f>
        <v>0</v>
      </c>
      <c r="H19" s="261">
        <f t="shared" si="2"/>
        <v>0</v>
      </c>
      <c r="I19" s="273">
        <f t="shared" si="3"/>
        <v>0</v>
      </c>
      <c r="J19" s="274" t="e">
        <f t="shared" si="1"/>
        <v>#DIV/0!</v>
      </c>
      <c r="K19" s="862"/>
      <c r="L19" s="863"/>
    </row>
    <row r="20" spans="1:12" ht="152.25" hidden="1" customHeight="1">
      <c r="A20" s="197"/>
      <c r="B20" s="255">
        <f>'2'!I20</f>
        <v>0</v>
      </c>
      <c r="C20" s="256"/>
      <c r="D20" s="257">
        <f t="shared" si="4"/>
        <v>0</v>
      </c>
      <c r="E20" s="258"/>
      <c r="F20" s="259"/>
      <c r="G20" s="260">
        <f>'2'!H20</f>
        <v>0</v>
      </c>
      <c r="H20" s="261">
        <f t="shared" si="2"/>
        <v>0</v>
      </c>
      <c r="I20" s="273">
        <f t="shared" si="3"/>
        <v>0</v>
      </c>
      <c r="J20" s="274" t="e">
        <f t="shared" si="1"/>
        <v>#DIV/0!</v>
      </c>
      <c r="K20" s="862"/>
      <c r="L20" s="863"/>
    </row>
    <row r="21" spans="1:12" ht="152.25" hidden="1" customHeight="1">
      <c r="A21" s="197"/>
      <c r="B21" s="255">
        <f>'2'!I21</f>
        <v>0</v>
      </c>
      <c r="C21" s="256"/>
      <c r="D21" s="257">
        <f t="shared" si="4"/>
        <v>0</v>
      </c>
      <c r="E21" s="258"/>
      <c r="F21" s="259"/>
      <c r="G21" s="260">
        <f>'2'!H21</f>
        <v>0</v>
      </c>
      <c r="H21" s="261">
        <f t="shared" si="2"/>
        <v>0</v>
      </c>
      <c r="I21" s="273">
        <f t="shared" si="3"/>
        <v>0</v>
      </c>
      <c r="J21" s="274" t="e">
        <f t="shared" si="1"/>
        <v>#DIV/0!</v>
      </c>
      <c r="K21" s="862"/>
      <c r="L21" s="863"/>
    </row>
    <row r="22" spans="1:12" ht="152.25" hidden="1" customHeight="1">
      <c r="A22" s="197"/>
      <c r="B22" s="255">
        <f>'2'!I22</f>
        <v>0</v>
      </c>
      <c r="C22" s="262"/>
      <c r="D22" s="257">
        <f t="shared" si="4"/>
        <v>0</v>
      </c>
      <c r="E22" s="263"/>
      <c r="F22" s="264"/>
      <c r="G22" s="260">
        <f>'2'!H22</f>
        <v>0</v>
      </c>
      <c r="H22" s="261">
        <f t="shared" si="2"/>
        <v>0</v>
      </c>
      <c r="I22" s="273">
        <f t="shared" si="3"/>
        <v>0</v>
      </c>
      <c r="J22" s="274" t="e">
        <f t="shared" si="1"/>
        <v>#DIV/0!</v>
      </c>
      <c r="K22" s="862"/>
      <c r="L22" s="863"/>
    </row>
    <row r="23" spans="1:12" ht="152.25" hidden="1" customHeight="1">
      <c r="A23" s="197"/>
      <c r="B23" s="255">
        <f>'2'!I23</f>
        <v>0</v>
      </c>
      <c r="C23" s="262"/>
      <c r="D23" s="257">
        <f t="shared" si="4"/>
        <v>0</v>
      </c>
      <c r="E23" s="263"/>
      <c r="F23" s="264"/>
      <c r="G23" s="260">
        <f>'2'!H23</f>
        <v>0</v>
      </c>
      <c r="H23" s="261">
        <f t="shared" si="2"/>
        <v>0</v>
      </c>
      <c r="I23" s="273">
        <f t="shared" si="3"/>
        <v>0</v>
      </c>
      <c r="J23" s="274" t="e">
        <f t="shared" si="1"/>
        <v>#DIV/0!</v>
      </c>
      <c r="K23" s="862"/>
      <c r="L23" s="863"/>
    </row>
    <row r="24" spans="1:12" ht="152.25" hidden="1" customHeight="1">
      <c r="A24" s="197"/>
      <c r="B24" s="255">
        <f>'2'!I24</f>
        <v>0</v>
      </c>
      <c r="C24" s="262"/>
      <c r="D24" s="257">
        <f t="shared" si="4"/>
        <v>0</v>
      </c>
      <c r="E24" s="263"/>
      <c r="F24" s="264"/>
      <c r="G24" s="260">
        <f>'2'!H24</f>
        <v>0</v>
      </c>
      <c r="H24" s="261">
        <f t="shared" si="2"/>
        <v>0</v>
      </c>
      <c r="I24" s="273">
        <f t="shared" si="3"/>
        <v>0</v>
      </c>
      <c r="J24" s="274" t="e">
        <f t="shared" si="1"/>
        <v>#DIV/0!</v>
      </c>
      <c r="K24" s="862"/>
      <c r="L24" s="863"/>
    </row>
    <row r="25" spans="1:12" ht="152.25" hidden="1" customHeight="1">
      <c r="A25" s="197"/>
      <c r="B25" s="255">
        <f>'2'!I25</f>
        <v>0</v>
      </c>
      <c r="C25" s="265"/>
      <c r="D25" s="266">
        <f t="shared" si="4"/>
        <v>0</v>
      </c>
      <c r="E25" s="267"/>
      <c r="F25" s="268"/>
      <c r="G25" s="260">
        <f>'2'!H25</f>
        <v>0</v>
      </c>
      <c r="H25" s="269">
        <f t="shared" si="2"/>
        <v>0</v>
      </c>
      <c r="I25" s="275">
        <f t="shared" si="3"/>
        <v>0</v>
      </c>
      <c r="J25" s="276" t="e">
        <f t="shared" si="1"/>
        <v>#DIV/0!</v>
      </c>
      <c r="K25" s="862"/>
      <c r="L25" s="863"/>
    </row>
    <row r="26" spans="1:12" ht="152.25" hidden="1" customHeight="1">
      <c r="A26" s="198"/>
      <c r="B26" s="255">
        <f>'2'!I26</f>
        <v>0</v>
      </c>
      <c r="C26" s="270"/>
      <c r="D26" s="266">
        <f t="shared" si="4"/>
        <v>0</v>
      </c>
      <c r="E26" s="270"/>
      <c r="F26" s="268"/>
      <c r="G26" s="260">
        <f>'2'!H26</f>
        <v>0</v>
      </c>
      <c r="H26" s="269">
        <f t="shared" si="2"/>
        <v>0</v>
      </c>
      <c r="I26" s="275">
        <f t="shared" si="3"/>
        <v>0</v>
      </c>
      <c r="J26" s="276" t="e">
        <f t="shared" si="1"/>
        <v>#DIV/0!</v>
      </c>
      <c r="K26" s="214"/>
      <c r="L26" s="215"/>
    </row>
    <row r="27" spans="1:12" ht="152.25" customHeight="1" thickBot="1">
      <c r="A27" s="199" t="s">
        <v>114</v>
      </c>
      <c r="B27" s="41"/>
      <c r="C27" s="40">
        <f>SUM(C6:C26)</f>
        <v>145</v>
      </c>
      <c r="D27" s="40">
        <f>SUM(D6:D26)</f>
        <v>785</v>
      </c>
      <c r="E27" s="40">
        <f>SUM(E6:E26)</f>
        <v>208</v>
      </c>
      <c r="F27" s="40">
        <f>SUM(F6:F26)</f>
        <v>34</v>
      </c>
      <c r="G27" s="883"/>
      <c r="H27" s="884"/>
      <c r="I27" s="40">
        <f>SUM(I6:I26)</f>
        <v>577</v>
      </c>
      <c r="J27" s="244"/>
      <c r="K27" s="885"/>
      <c r="L27" s="886"/>
    </row>
    <row r="28" spans="1:12" ht="152.25" customHeight="1" thickBot="1">
      <c r="A28" s="43"/>
      <c r="B28" s="44"/>
      <c r="C28" s="44"/>
      <c r="D28" s="44"/>
      <c r="E28" s="44"/>
      <c r="F28" s="44"/>
      <c r="G28" s="44"/>
      <c r="H28" s="44"/>
      <c r="I28" s="44"/>
      <c r="J28" s="120"/>
    </row>
    <row r="29" spans="1:12" ht="184.5">
      <c r="A29" s="237"/>
      <c r="B29" s="217" t="s">
        <v>126</v>
      </c>
      <c r="C29" s="217" t="s">
        <v>127</v>
      </c>
      <c r="D29" s="217" t="s">
        <v>128</v>
      </c>
      <c r="E29" s="217" t="s">
        <v>129</v>
      </c>
      <c r="F29" s="217" t="s">
        <v>130</v>
      </c>
      <c r="G29" s="217" t="s">
        <v>131</v>
      </c>
      <c r="H29" s="887" t="s">
        <v>120</v>
      </c>
      <c r="I29" s="888"/>
    </row>
    <row r="30" spans="1:12" ht="152.25" customHeight="1">
      <c r="A30" s="217" t="s">
        <v>132</v>
      </c>
      <c r="B30" s="153">
        <f>'2'!G30</f>
        <v>110</v>
      </c>
      <c r="C30" s="154">
        <v>800</v>
      </c>
      <c r="D30" s="17">
        <f>SUM(B30:C30)</f>
        <v>910</v>
      </c>
      <c r="E30" s="155">
        <f>C27</f>
        <v>145</v>
      </c>
      <c r="F30" s="17">
        <f>E27</f>
        <v>208</v>
      </c>
      <c r="G30" s="156">
        <f>D30-E30</f>
        <v>765</v>
      </c>
      <c r="H30" s="900"/>
      <c r="I30" s="901"/>
    </row>
    <row r="31" spans="1:12" ht="152.25" customHeight="1">
      <c r="A31" s="240" t="s">
        <v>133</v>
      </c>
      <c r="B31" s="52">
        <v>0</v>
      </c>
      <c r="C31" s="154">
        <v>0</v>
      </c>
      <c r="D31" s="17">
        <f>SUM(B31,C31)</f>
        <v>0</v>
      </c>
      <c r="E31" s="157">
        <v>0</v>
      </c>
      <c r="F31" s="29">
        <v>0</v>
      </c>
      <c r="G31" s="156">
        <f>D31-F31</f>
        <v>0</v>
      </c>
      <c r="H31" s="902"/>
      <c r="I31" s="903"/>
      <c r="J31" s="121"/>
    </row>
    <row r="32" spans="1:12" s="1" customFormat="1" ht="96" customHeight="1">
      <c r="A32" s="55"/>
      <c r="B32" s="44"/>
      <c r="C32" s="56"/>
      <c r="D32" s="56"/>
      <c r="E32" s="56"/>
      <c r="F32" s="44"/>
      <c r="G32" s="57"/>
      <c r="H32" s="58"/>
      <c r="I32" s="58"/>
      <c r="J32" s="122"/>
    </row>
    <row r="33" spans="1:11" ht="73.5" customHeight="1">
      <c r="A33" s="874" t="s">
        <v>134</v>
      </c>
      <c r="B33" s="875"/>
      <c r="C33" s="875"/>
      <c r="D33" s="875"/>
      <c r="E33" s="875"/>
      <c r="F33" s="875"/>
      <c r="G33" s="876"/>
      <c r="H33" s="59"/>
      <c r="I33" s="59"/>
      <c r="J33" s="84"/>
    </row>
    <row r="34" spans="1:11" ht="123">
      <c r="A34" s="200" t="s">
        <v>135</v>
      </c>
      <c r="B34" s="201" t="s">
        <v>136</v>
      </c>
      <c r="C34" s="202" t="s">
        <v>127</v>
      </c>
      <c r="D34" s="200" t="s">
        <v>137</v>
      </c>
      <c r="E34" s="203" t="s">
        <v>138</v>
      </c>
      <c r="F34" s="204" t="s">
        <v>131</v>
      </c>
      <c r="G34" s="204" t="s">
        <v>42</v>
      </c>
      <c r="H34" s="59"/>
      <c r="I34" s="59"/>
      <c r="J34" s="123"/>
    </row>
    <row r="35" spans="1:11" ht="123">
      <c r="A35" s="205" t="s">
        <v>139</v>
      </c>
      <c r="B35" s="158">
        <f>'2'!F35</f>
        <v>107</v>
      </c>
      <c r="C35" s="159"/>
      <c r="D35" s="160">
        <f>SUM(B35:C35)</f>
        <v>107</v>
      </c>
      <c r="E35" s="161">
        <v>15</v>
      </c>
      <c r="F35" s="160">
        <f>D35-E35</f>
        <v>92</v>
      </c>
      <c r="G35" s="69" t="s">
        <v>205</v>
      </c>
      <c r="H35" s="59"/>
      <c r="I35" s="59"/>
    </row>
    <row r="36" spans="1:11" ht="116.25" customHeight="1">
      <c r="A36" s="206" t="s">
        <v>140</v>
      </c>
      <c r="B36" s="158">
        <f>'2'!F36</f>
        <v>420</v>
      </c>
      <c r="C36" s="159"/>
      <c r="D36" s="162">
        <f t="shared" ref="D36:D46" si="5">SUM(B36:C36)</f>
        <v>420</v>
      </c>
      <c r="E36" s="161"/>
      <c r="F36" s="162">
        <f t="shared" ref="F36:F46" si="6">D36-E36</f>
        <v>420</v>
      </c>
      <c r="G36" s="190"/>
      <c r="H36" s="59"/>
      <c r="I36" s="59"/>
    </row>
    <row r="37" spans="1:11" ht="98.25" customHeight="1">
      <c r="A37" s="206" t="s">
        <v>141</v>
      </c>
      <c r="B37" s="158">
        <f>'2'!F37</f>
        <v>320</v>
      </c>
      <c r="C37" s="159"/>
      <c r="D37" s="162">
        <f t="shared" si="5"/>
        <v>320</v>
      </c>
      <c r="E37" s="161"/>
      <c r="F37" s="162">
        <f t="shared" si="6"/>
        <v>320</v>
      </c>
      <c r="G37" s="73"/>
      <c r="H37" s="74"/>
      <c r="I37" s="74"/>
    </row>
    <row r="38" spans="1:11" ht="98.25" customHeight="1">
      <c r="A38" s="206" t="s">
        <v>142</v>
      </c>
      <c r="B38" s="158">
        <f>'2'!F38</f>
        <v>105</v>
      </c>
      <c r="C38" s="159"/>
      <c r="D38" s="162">
        <f t="shared" si="5"/>
        <v>105</v>
      </c>
      <c r="E38" s="161">
        <v>2</v>
      </c>
      <c r="F38" s="162">
        <f t="shared" si="6"/>
        <v>103</v>
      </c>
      <c r="G38" s="189" t="s">
        <v>204</v>
      </c>
      <c r="H38" s="59"/>
      <c r="I38" s="59"/>
    </row>
    <row r="39" spans="1:11" ht="123">
      <c r="A39" s="206" t="s">
        <v>143</v>
      </c>
      <c r="B39" s="158">
        <f>'2'!F39</f>
        <v>0</v>
      </c>
      <c r="C39" s="159"/>
      <c r="D39" s="162">
        <f t="shared" si="5"/>
        <v>0</v>
      </c>
      <c r="E39" s="161"/>
      <c r="F39" s="162">
        <f t="shared" si="6"/>
        <v>0</v>
      </c>
      <c r="G39" s="72"/>
      <c r="H39" s="59"/>
      <c r="I39" s="59"/>
    </row>
    <row r="40" spans="1:11" ht="98.25" customHeight="1">
      <c r="A40" s="206" t="s">
        <v>144</v>
      </c>
      <c r="B40" s="158">
        <f>'2'!F40</f>
        <v>0</v>
      </c>
      <c r="C40" s="159"/>
      <c r="D40" s="162">
        <f t="shared" si="5"/>
        <v>0</v>
      </c>
      <c r="E40" s="161"/>
      <c r="F40" s="162">
        <f t="shared" si="6"/>
        <v>0</v>
      </c>
      <c r="G40" s="72"/>
      <c r="H40" s="59"/>
      <c r="I40" s="59"/>
    </row>
    <row r="41" spans="1:11" ht="123">
      <c r="A41" s="206" t="s">
        <v>145</v>
      </c>
      <c r="B41" s="158">
        <f>'2'!F41</f>
        <v>190</v>
      </c>
      <c r="C41" s="159"/>
      <c r="D41" s="162">
        <f t="shared" si="5"/>
        <v>190</v>
      </c>
      <c r="E41" s="161"/>
      <c r="F41" s="162">
        <f t="shared" si="6"/>
        <v>190</v>
      </c>
      <c r="G41" s="72"/>
      <c r="H41" s="59"/>
      <c r="I41" s="59"/>
    </row>
    <row r="42" spans="1:11" ht="98.25" customHeight="1">
      <c r="A42" s="206" t="s">
        <v>86</v>
      </c>
      <c r="B42" s="158">
        <f>'2'!F42</f>
        <v>0</v>
      </c>
      <c r="C42" s="159"/>
      <c r="D42" s="162">
        <f t="shared" si="5"/>
        <v>0</v>
      </c>
      <c r="E42" s="161"/>
      <c r="F42" s="162">
        <f t="shared" si="6"/>
        <v>0</v>
      </c>
      <c r="G42" s="75"/>
      <c r="H42" s="76"/>
      <c r="I42" s="59"/>
      <c r="J42" s="124"/>
    </row>
    <row r="43" spans="1:11" ht="98.25" customHeight="1">
      <c r="A43" s="206" t="s">
        <v>146</v>
      </c>
      <c r="B43" s="158">
        <f>'2'!F43</f>
        <v>20</v>
      </c>
      <c r="C43" s="159"/>
      <c r="D43" s="162">
        <f t="shared" si="5"/>
        <v>20</v>
      </c>
      <c r="E43" s="161"/>
      <c r="F43" s="162">
        <f t="shared" si="6"/>
        <v>20</v>
      </c>
      <c r="G43" s="73"/>
      <c r="H43" s="74"/>
      <c r="I43" s="74"/>
    </row>
    <row r="44" spans="1:11" ht="184.5">
      <c r="A44" s="206" t="s">
        <v>147</v>
      </c>
      <c r="B44" s="158">
        <f>'2'!F44</f>
        <v>0</v>
      </c>
      <c r="C44" s="159"/>
      <c r="D44" s="162">
        <f t="shared" si="5"/>
        <v>0</v>
      </c>
      <c r="E44" s="161"/>
      <c r="F44" s="162">
        <f t="shared" si="6"/>
        <v>0</v>
      </c>
      <c r="G44" s="77"/>
      <c r="H44" s="57"/>
      <c r="I44" s="76"/>
    </row>
    <row r="45" spans="1:11" ht="98.25" customHeight="1">
      <c r="A45" s="210" t="s">
        <v>148</v>
      </c>
      <c r="B45" s="158">
        <f>'2'!F45</f>
        <v>0</v>
      </c>
      <c r="C45" s="159"/>
      <c r="D45" s="162">
        <f t="shared" si="5"/>
        <v>0</v>
      </c>
      <c r="E45" s="161"/>
      <c r="F45" s="162">
        <f t="shared" si="6"/>
        <v>0</v>
      </c>
      <c r="G45" s="79"/>
      <c r="H45" s="57"/>
      <c r="I45" s="76"/>
    </row>
    <row r="46" spans="1:11" ht="92.25">
      <c r="A46" s="212" t="s">
        <v>92</v>
      </c>
      <c r="B46" s="158">
        <f>'2'!F46</f>
        <v>0</v>
      </c>
      <c r="C46" s="159"/>
      <c r="D46" s="163">
        <f t="shared" si="5"/>
        <v>0</v>
      </c>
      <c r="E46" s="161"/>
      <c r="F46" s="163">
        <f t="shared" si="6"/>
        <v>0</v>
      </c>
      <c r="G46" s="82"/>
      <c r="H46" s="57"/>
      <c r="I46" s="59"/>
    </row>
    <row r="47" spans="1:11" ht="105.75" customHeight="1">
      <c r="A47" s="83"/>
      <c r="B47" s="84"/>
      <c r="C47" s="84"/>
      <c r="D47" s="84"/>
      <c r="E47" s="84"/>
      <c r="F47" s="85"/>
      <c r="G47" s="86"/>
      <c r="H47" s="57"/>
      <c r="I47" s="110"/>
      <c r="J47" s="57"/>
    </row>
    <row r="48" spans="1:11" ht="66.75" customHeight="1">
      <c r="A48" s="87" t="s">
        <v>149</v>
      </c>
      <c r="B48" s="88" t="s">
        <v>150</v>
      </c>
      <c r="C48" s="89" t="s">
        <v>151</v>
      </c>
      <c r="D48" s="89" t="s">
        <v>152</v>
      </c>
      <c r="E48" s="90" t="s">
        <v>153</v>
      </c>
      <c r="F48" s="89" t="s">
        <v>154</v>
      </c>
      <c r="G48" s="91" t="s">
        <v>155</v>
      </c>
      <c r="H48" s="89" t="s">
        <v>156</v>
      </c>
      <c r="I48" s="88" t="s">
        <v>42</v>
      </c>
      <c r="J48" s="56"/>
      <c r="K48" s="1"/>
    </row>
    <row r="49" spans="1:11" s="2" customFormat="1" ht="66.75" customHeight="1">
      <c r="A49" s="92" t="s">
        <v>157</v>
      </c>
      <c r="B49" s="93">
        <v>0</v>
      </c>
      <c r="C49" s="94">
        <v>0</v>
      </c>
      <c r="D49" s="94">
        <v>0</v>
      </c>
      <c r="E49" s="94">
        <v>0</v>
      </c>
      <c r="F49" s="95">
        <v>0</v>
      </c>
      <c r="G49" s="96">
        <v>0</v>
      </c>
      <c r="H49" s="97">
        <v>0</v>
      </c>
      <c r="I49" s="125"/>
      <c r="J49" s="126"/>
      <c r="K49" s="127"/>
    </row>
    <row r="50" spans="1:11" s="2" customFormat="1" ht="54.75" customHeight="1">
      <c r="A50" s="98" t="s">
        <v>158</v>
      </c>
      <c r="B50" s="99">
        <v>0</v>
      </c>
      <c r="C50" s="100">
        <v>0</v>
      </c>
      <c r="D50" s="100">
        <v>0</v>
      </c>
      <c r="E50" s="100">
        <v>0</v>
      </c>
      <c r="F50" s="101">
        <v>0</v>
      </c>
      <c r="G50" s="102">
        <v>0</v>
      </c>
      <c r="H50" s="103">
        <v>0</v>
      </c>
      <c r="I50" s="128"/>
      <c r="J50" s="126"/>
      <c r="K50" s="127"/>
    </row>
    <row r="51" spans="1:11" s="2" customFormat="1" ht="70.5" customHeight="1">
      <c r="A51" s="104" t="s">
        <v>159</v>
      </c>
      <c r="B51" s="105">
        <v>0</v>
      </c>
      <c r="C51" s="106">
        <v>0</v>
      </c>
      <c r="D51" s="106">
        <v>0</v>
      </c>
      <c r="E51" s="106">
        <v>0</v>
      </c>
      <c r="F51" s="107">
        <v>0</v>
      </c>
      <c r="G51" s="108">
        <v>0</v>
      </c>
      <c r="H51" s="109">
        <v>0</v>
      </c>
      <c r="I51" s="129"/>
      <c r="J51" s="130"/>
      <c r="K51" s="127"/>
    </row>
    <row r="52" spans="1:11">
      <c r="C52" s="110"/>
      <c r="D52" s="110"/>
      <c r="E52" s="110"/>
      <c r="F52" s="84"/>
      <c r="G52" s="84"/>
      <c r="H52" s="84"/>
      <c r="I52" s="110"/>
      <c r="J52" s="131"/>
      <c r="K52" s="1"/>
    </row>
  </sheetData>
  <sheetProtection sheet="1" objects="1" scenarios="1" formatCells="0" formatColumns="0" formatRows="0" insertColumns="0" insertRows="0"/>
  <mergeCells count="31">
    <mergeCell ref="A33:G33"/>
    <mergeCell ref="I2:L4"/>
    <mergeCell ref="G27:H27"/>
    <mergeCell ref="K27:L27"/>
    <mergeCell ref="H29:I29"/>
    <mergeCell ref="H30:I30"/>
    <mergeCell ref="H31:I31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7:L7"/>
    <mergeCell ref="K8:L8"/>
    <mergeCell ref="K9:L9"/>
    <mergeCell ref="K10:L10"/>
    <mergeCell ref="K20:L20"/>
    <mergeCell ref="K11:L11"/>
    <mergeCell ref="K12:L12"/>
    <mergeCell ref="K13:L13"/>
    <mergeCell ref="K14:L14"/>
    <mergeCell ref="K15:L15"/>
    <mergeCell ref="A1:L1"/>
    <mergeCell ref="C2:F2"/>
    <mergeCell ref="A4:B4"/>
    <mergeCell ref="K5:L5"/>
    <mergeCell ref="K6:L6"/>
  </mergeCells>
  <pageMargins left="0.70866141732283472" right="0.70866141732283472" top="0.74803149606299213" bottom="0.74803149606299213" header="0.31496062992125984" footer="0.31496062992125984"/>
  <pageSetup scale="1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2"/>
  <sheetViews>
    <sheetView topLeftCell="A13" zoomScale="25" zoomScaleNormal="25" workbookViewId="0">
      <selection activeCell="C8" sqref="C8"/>
    </sheetView>
  </sheetViews>
  <sheetFormatPr defaultColWidth="9" defaultRowHeight="33.75"/>
  <cols>
    <col min="1" max="1" width="77.7109375" style="3" customWidth="1"/>
    <col min="2" max="2" width="60" style="3" customWidth="1"/>
    <col min="3" max="5" width="48" style="3" customWidth="1"/>
    <col min="6" max="6" width="59.5703125" style="3" customWidth="1"/>
    <col min="7" max="7" width="69.7109375" style="3" customWidth="1"/>
    <col min="8" max="8" width="73.710937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177</v>
      </c>
      <c r="C2" s="893"/>
      <c r="D2" s="893"/>
      <c r="E2" s="893"/>
      <c r="F2" s="893"/>
      <c r="G2" s="252" t="s">
        <v>107</v>
      </c>
      <c r="H2" s="720">
        <v>46238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12.5</v>
      </c>
      <c r="D4" s="14">
        <v>9</v>
      </c>
      <c r="E4" s="14">
        <v>2.5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218.25" customHeight="1">
      <c r="A6" s="217" t="s">
        <v>161</v>
      </c>
      <c r="B6" s="132">
        <f>'3'!I6</f>
        <v>198</v>
      </c>
      <c r="C6" s="133">
        <v>150</v>
      </c>
      <c r="D6" s="134">
        <f t="shared" ref="D6:D14" si="0">B6+C6</f>
        <v>348</v>
      </c>
      <c r="E6" s="135">
        <v>110</v>
      </c>
      <c r="F6" s="136">
        <v>18</v>
      </c>
      <c r="G6" s="137">
        <f>'3'!H6</f>
        <v>25156.5</v>
      </c>
      <c r="H6" s="138">
        <f>SUM(G6,F6)</f>
        <v>25174.5</v>
      </c>
      <c r="I6" s="165">
        <f>D6-E6</f>
        <v>238</v>
      </c>
      <c r="J6" s="166">
        <f t="shared" ref="J6:J26" si="1">E6/F6</f>
        <v>6.1111111111111107</v>
      </c>
      <c r="K6" s="904"/>
      <c r="L6" s="905"/>
    </row>
    <row r="7" spans="1:12" ht="152.25" customHeight="1">
      <c r="A7" s="217" t="s">
        <v>162</v>
      </c>
      <c r="B7" s="132">
        <f>'3'!I7</f>
        <v>176</v>
      </c>
      <c r="C7" s="133">
        <v>0</v>
      </c>
      <c r="D7" s="139">
        <f t="shared" si="0"/>
        <v>176</v>
      </c>
      <c r="E7" s="135">
        <v>75</v>
      </c>
      <c r="F7" s="136">
        <v>6</v>
      </c>
      <c r="G7" s="137">
        <f>'3'!H7</f>
        <v>1467</v>
      </c>
      <c r="H7" s="134">
        <f t="shared" ref="H7:H26" si="2">SUM(G7,F7)</f>
        <v>1473</v>
      </c>
      <c r="I7" s="167">
        <f t="shared" ref="I7:I26" si="3">D7-E7</f>
        <v>101</v>
      </c>
      <c r="J7" s="168">
        <f t="shared" si="1"/>
        <v>12.5</v>
      </c>
      <c r="K7" s="906"/>
      <c r="L7" s="907"/>
    </row>
    <row r="8" spans="1:12" ht="200.25" customHeight="1">
      <c r="A8" s="217" t="s">
        <v>163</v>
      </c>
      <c r="B8" s="132">
        <f>'3'!I8</f>
        <v>32</v>
      </c>
      <c r="C8" s="133">
        <v>150</v>
      </c>
      <c r="D8" s="139">
        <f t="shared" si="0"/>
        <v>182</v>
      </c>
      <c r="E8" s="135">
        <v>70</v>
      </c>
      <c r="F8" s="136">
        <v>12</v>
      </c>
      <c r="G8" s="137">
        <f>'3'!H8</f>
        <v>1265</v>
      </c>
      <c r="H8" s="134">
        <f t="shared" si="2"/>
        <v>1277</v>
      </c>
      <c r="I8" s="167">
        <f t="shared" si="3"/>
        <v>112</v>
      </c>
      <c r="J8" s="168">
        <f t="shared" si="1"/>
        <v>5.833333333333333</v>
      </c>
      <c r="K8" s="862"/>
      <c r="L8" s="863"/>
    </row>
    <row r="9" spans="1:12" ht="182.25" customHeight="1">
      <c r="A9" s="217" t="s">
        <v>164</v>
      </c>
      <c r="B9" s="132">
        <f>'3'!I9</f>
        <v>119</v>
      </c>
      <c r="C9" s="133">
        <v>50</v>
      </c>
      <c r="D9" s="139">
        <f t="shared" si="0"/>
        <v>169</v>
      </c>
      <c r="E9" s="135">
        <v>74</v>
      </c>
      <c r="F9" s="136">
        <v>12</v>
      </c>
      <c r="G9" s="137">
        <f>'3'!H9</f>
        <v>3198</v>
      </c>
      <c r="H9" s="134">
        <f t="shared" si="2"/>
        <v>3210</v>
      </c>
      <c r="I9" s="167">
        <f t="shared" si="3"/>
        <v>95</v>
      </c>
      <c r="J9" s="168">
        <f t="shared" si="1"/>
        <v>6.166666666666667</v>
      </c>
      <c r="K9" s="862"/>
      <c r="L9" s="863"/>
    </row>
    <row r="10" spans="1:12" ht="185.25" customHeight="1" thickBot="1">
      <c r="A10" s="217" t="s">
        <v>165</v>
      </c>
      <c r="B10" s="132">
        <f>'3'!I10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'3'!H10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52.25" customHeight="1" thickBot="1">
      <c r="A11" s="217" t="s">
        <v>5</v>
      </c>
      <c r="B11" s="132">
        <f>'3'!I11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'3'!H11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7" t="s">
        <v>167</v>
      </c>
      <c r="B12" s="132">
        <f>'3'!I12</f>
        <v>26</v>
      </c>
      <c r="C12" s="133">
        <v>0</v>
      </c>
      <c r="D12" s="139">
        <f t="shared" si="0"/>
        <v>26</v>
      </c>
      <c r="E12" s="135">
        <v>3</v>
      </c>
      <c r="F12" s="136">
        <v>1</v>
      </c>
      <c r="G12" s="137">
        <f>'3'!H12</f>
        <v>8</v>
      </c>
      <c r="H12" s="134">
        <f t="shared" si="2"/>
        <v>9</v>
      </c>
      <c r="I12" s="167">
        <f t="shared" si="3"/>
        <v>23</v>
      </c>
      <c r="J12" s="168">
        <f t="shared" si="1"/>
        <v>3</v>
      </c>
      <c r="K12" s="862"/>
      <c r="L12" s="863"/>
    </row>
    <row r="13" spans="1:12" ht="152.25" customHeight="1">
      <c r="A13" s="217" t="s">
        <v>168</v>
      </c>
      <c r="B13" s="132">
        <f>'3'!I13</f>
        <v>0</v>
      </c>
      <c r="C13" s="133">
        <v>0</v>
      </c>
      <c r="D13" s="139">
        <f t="shared" si="0"/>
        <v>0</v>
      </c>
      <c r="E13" s="135">
        <v>0</v>
      </c>
      <c r="F13" s="136">
        <v>0</v>
      </c>
      <c r="G13" s="137">
        <f>'3'!H13</f>
        <v>0</v>
      </c>
      <c r="H13" s="134">
        <f t="shared" si="2"/>
        <v>0</v>
      </c>
      <c r="I13" s="167">
        <f t="shared" si="3"/>
        <v>0</v>
      </c>
      <c r="J13" s="168" t="e">
        <f t="shared" si="1"/>
        <v>#DIV/0!</v>
      </c>
      <c r="K13" s="862"/>
      <c r="L13" s="863"/>
    </row>
    <row r="14" spans="1:12" ht="185.25" thickBot="1">
      <c r="A14" s="217" t="s">
        <v>169</v>
      </c>
      <c r="B14" s="132">
        <f>'3'!I14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'3'!H14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84.5">
      <c r="A15" s="217" t="s">
        <v>170</v>
      </c>
      <c r="B15" s="132">
        <f>'3'!I15</f>
        <v>0</v>
      </c>
      <c r="C15" s="133">
        <v>0</v>
      </c>
      <c r="D15" s="139">
        <f t="shared" ref="D15:D26" si="4">C15+B15</f>
        <v>0</v>
      </c>
      <c r="E15" s="135">
        <v>0</v>
      </c>
      <c r="F15" s="136">
        <v>0</v>
      </c>
      <c r="G15" s="137">
        <f>'3'!H15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52.25" customHeight="1">
      <c r="A16" s="217" t="s">
        <v>171</v>
      </c>
      <c r="B16" s="132">
        <f>'3'!I16</f>
        <v>0</v>
      </c>
      <c r="C16" s="133">
        <v>0</v>
      </c>
      <c r="D16" s="139">
        <f t="shared" si="4"/>
        <v>0</v>
      </c>
      <c r="E16" s="135">
        <v>0</v>
      </c>
      <c r="F16" s="136">
        <v>0</v>
      </c>
      <c r="G16" s="137">
        <f>'3'!H16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52.25" customHeight="1" thickBot="1">
      <c r="A17" s="287" t="s">
        <v>11</v>
      </c>
      <c r="B17" s="132">
        <f>'3'!I17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'3'!H17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hidden="1" customHeight="1">
      <c r="A18" s="197"/>
      <c r="B18" s="132">
        <f>'3'!I18</f>
        <v>0</v>
      </c>
      <c r="C18" s="133"/>
      <c r="D18" s="139">
        <f t="shared" si="4"/>
        <v>0</v>
      </c>
      <c r="E18" s="135">
        <v>0</v>
      </c>
      <c r="F18" s="136"/>
      <c r="G18" s="137">
        <f>'3'!H18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'3'!I19</f>
        <v>0</v>
      </c>
      <c r="C19" s="133"/>
      <c r="D19" s="139">
        <f t="shared" si="4"/>
        <v>0</v>
      </c>
      <c r="E19" s="135">
        <v>0</v>
      </c>
      <c r="F19" s="136"/>
      <c r="G19" s="137">
        <f>'3'!H19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'3'!I20</f>
        <v>0</v>
      </c>
      <c r="C20" s="133"/>
      <c r="D20" s="139">
        <f t="shared" si="4"/>
        <v>0</v>
      </c>
      <c r="E20" s="135">
        <v>0</v>
      </c>
      <c r="F20" s="136"/>
      <c r="G20" s="137">
        <f>'3'!H20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'3'!I21</f>
        <v>0</v>
      </c>
      <c r="C21" s="133"/>
      <c r="D21" s="139">
        <f t="shared" si="4"/>
        <v>0</v>
      </c>
      <c r="E21" s="135">
        <v>0</v>
      </c>
      <c r="F21" s="136"/>
      <c r="G21" s="137">
        <f>'3'!H21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'3'!I22</f>
        <v>0</v>
      </c>
      <c r="C22" s="174"/>
      <c r="D22" s="139">
        <f t="shared" si="4"/>
        <v>0</v>
      </c>
      <c r="E22" s="135">
        <v>0</v>
      </c>
      <c r="F22" s="176"/>
      <c r="G22" s="137">
        <f>'3'!H22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'3'!I23</f>
        <v>0</v>
      </c>
      <c r="C23" s="174"/>
      <c r="D23" s="139">
        <f t="shared" si="4"/>
        <v>0</v>
      </c>
      <c r="E23" s="135">
        <v>0</v>
      </c>
      <c r="F23" s="176"/>
      <c r="G23" s="137">
        <f>'3'!H23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'3'!I24</f>
        <v>0</v>
      </c>
      <c r="C24" s="174"/>
      <c r="D24" s="139">
        <f t="shared" si="4"/>
        <v>0</v>
      </c>
      <c r="E24" s="135">
        <v>0</v>
      </c>
      <c r="F24" s="176"/>
      <c r="G24" s="137">
        <f>'3'!H24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'3'!I25</f>
        <v>0</v>
      </c>
      <c r="C25" s="177"/>
      <c r="D25" s="148">
        <f t="shared" si="4"/>
        <v>0</v>
      </c>
      <c r="E25" s="135">
        <v>0</v>
      </c>
      <c r="F25" s="179"/>
      <c r="G25" s="137">
        <f>'3'!H25</f>
        <v>0</v>
      </c>
      <c r="H25" s="16">
        <f t="shared" si="2"/>
        <v>0</v>
      </c>
      <c r="I25" s="169">
        <f t="shared" si="3"/>
        <v>0</v>
      </c>
      <c r="J25" s="170" t="e">
        <f t="shared" si="1"/>
        <v>#DIV/0!</v>
      </c>
      <c r="K25" s="862"/>
      <c r="L25" s="863"/>
    </row>
    <row r="26" spans="1:12" ht="152.25" hidden="1" customHeight="1">
      <c r="A26" s="198"/>
      <c r="B26" s="132">
        <f>'3'!I26</f>
        <v>0</v>
      </c>
      <c r="C26" s="180"/>
      <c r="D26" s="148">
        <f t="shared" si="4"/>
        <v>0</v>
      </c>
      <c r="E26" s="135">
        <v>0</v>
      </c>
      <c r="F26" s="179"/>
      <c r="G26" s="137">
        <f>'3'!H26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214"/>
      <c r="L26" s="215"/>
    </row>
    <row r="27" spans="1:12" ht="152.25" customHeight="1" thickBot="1">
      <c r="A27" s="199" t="s">
        <v>114</v>
      </c>
      <c r="B27" s="41"/>
      <c r="C27" s="40">
        <f>SUM(C6:C26)</f>
        <v>350</v>
      </c>
      <c r="D27" s="40">
        <f>SUM(D6:D26)</f>
        <v>927</v>
      </c>
      <c r="E27" s="40">
        <f>SUM(E6:E26)</f>
        <v>332</v>
      </c>
      <c r="F27" s="40">
        <f>SUM(F6:F26)</f>
        <v>49</v>
      </c>
      <c r="G27" s="883"/>
      <c r="H27" s="884"/>
      <c r="I27" s="40">
        <f>SUM(I6:I26)</f>
        <v>595</v>
      </c>
      <c r="J27" s="111"/>
      <c r="K27" s="885"/>
      <c r="L27" s="886"/>
    </row>
    <row r="28" spans="1:12" ht="152.25" customHeight="1" thickBot="1">
      <c r="A28" s="43"/>
      <c r="B28" s="44"/>
      <c r="C28" s="44"/>
      <c r="D28" s="44"/>
      <c r="E28" s="44"/>
      <c r="F28" s="44"/>
      <c r="G28" s="44"/>
      <c r="H28" s="44"/>
      <c r="I28" s="44"/>
      <c r="J28" s="120"/>
    </row>
    <row r="29" spans="1:12" ht="184.5">
      <c r="A29" s="237"/>
      <c r="B29" s="217" t="s">
        <v>126</v>
      </c>
      <c r="C29" s="217" t="s">
        <v>127</v>
      </c>
      <c r="D29" s="217" t="s">
        <v>128</v>
      </c>
      <c r="E29" s="217" t="s">
        <v>129</v>
      </c>
      <c r="F29" s="217" t="s">
        <v>130</v>
      </c>
      <c r="G29" s="217" t="s">
        <v>131</v>
      </c>
      <c r="H29" s="887" t="s">
        <v>120</v>
      </c>
      <c r="I29" s="888"/>
    </row>
    <row r="30" spans="1:12" ht="152.25" customHeight="1">
      <c r="A30" s="217" t="s">
        <v>132</v>
      </c>
      <c r="B30" s="153">
        <f>'3'!G30</f>
        <v>765</v>
      </c>
      <c r="C30" s="154">
        <v>0</v>
      </c>
      <c r="D30" s="17">
        <f>SUM(B30:C30)</f>
        <v>765</v>
      </c>
      <c r="E30" s="155">
        <f>C27</f>
        <v>350</v>
      </c>
      <c r="F30" s="17">
        <f>E27</f>
        <v>332</v>
      </c>
      <c r="G30" s="156">
        <f>D30-E30</f>
        <v>415</v>
      </c>
      <c r="H30" s="889"/>
      <c r="I30" s="890"/>
    </row>
    <row r="31" spans="1:12" ht="152.25" customHeight="1">
      <c r="A31" s="240" t="s">
        <v>133</v>
      </c>
      <c r="B31" s="52">
        <v>0</v>
      </c>
      <c r="C31" s="154">
        <v>0</v>
      </c>
      <c r="D31" s="17">
        <f>SUM(B31,C31)</f>
        <v>0</v>
      </c>
      <c r="E31" s="157">
        <v>0</v>
      </c>
      <c r="F31" s="29">
        <v>0</v>
      </c>
      <c r="G31" s="156">
        <f>D31-F31</f>
        <v>0</v>
      </c>
      <c r="H31" s="891"/>
      <c r="I31" s="892"/>
      <c r="J31" s="121"/>
    </row>
    <row r="32" spans="1:12" s="1" customFormat="1" ht="96" customHeight="1">
      <c r="A32" s="55"/>
      <c r="B32" s="44"/>
      <c r="C32" s="56"/>
      <c r="D32" s="56"/>
      <c r="E32" s="56"/>
      <c r="F32" s="44"/>
      <c r="G32" s="57"/>
      <c r="H32" s="58"/>
      <c r="I32" s="58"/>
      <c r="J32" s="122"/>
    </row>
    <row r="33" spans="1:11" ht="99.75" customHeight="1">
      <c r="A33" s="874" t="s">
        <v>134</v>
      </c>
      <c r="B33" s="875"/>
      <c r="C33" s="875"/>
      <c r="D33" s="875"/>
      <c r="E33" s="875"/>
      <c r="F33" s="875"/>
      <c r="G33" s="876"/>
      <c r="H33" s="59"/>
      <c r="I33" s="59"/>
      <c r="J33" s="84"/>
    </row>
    <row r="34" spans="1:11" ht="155.25" customHeight="1">
      <c r="A34" s="200" t="s">
        <v>135</v>
      </c>
      <c r="B34" s="201" t="s">
        <v>136</v>
      </c>
      <c r="C34" s="202" t="s">
        <v>127</v>
      </c>
      <c r="D34" s="200" t="s">
        <v>137</v>
      </c>
      <c r="E34" s="203" t="s">
        <v>138</v>
      </c>
      <c r="F34" s="204" t="s">
        <v>131</v>
      </c>
      <c r="G34" s="204" t="s">
        <v>42</v>
      </c>
      <c r="H34" s="59"/>
      <c r="I34" s="59"/>
      <c r="J34" s="123"/>
    </row>
    <row r="35" spans="1:11" ht="95.25" customHeight="1">
      <c r="A35" s="205" t="s">
        <v>139</v>
      </c>
      <c r="B35" s="158">
        <f>'3'!F35</f>
        <v>92</v>
      </c>
      <c r="C35" s="159"/>
      <c r="D35" s="160">
        <f>SUM(B35:C35)</f>
        <v>92</v>
      </c>
      <c r="E35" s="161"/>
      <c r="F35" s="160">
        <f>D35-E35</f>
        <v>92</v>
      </c>
      <c r="G35" s="69"/>
      <c r="H35" s="59"/>
      <c r="I35" s="59"/>
    </row>
    <row r="36" spans="1:11" ht="101.25" customHeight="1">
      <c r="A36" s="206" t="s">
        <v>140</v>
      </c>
      <c r="B36" s="158">
        <f>'3'!F36</f>
        <v>420</v>
      </c>
      <c r="C36" s="159"/>
      <c r="D36" s="162">
        <f t="shared" ref="D36:D46" si="5">SUM(B36:C36)</f>
        <v>420</v>
      </c>
      <c r="E36" s="161"/>
      <c r="F36" s="162">
        <f t="shared" ref="F36:F46" si="6">D36-E36</f>
        <v>420</v>
      </c>
      <c r="G36" s="72"/>
      <c r="H36" s="59"/>
      <c r="I36" s="59"/>
    </row>
    <row r="37" spans="1:11" ht="95.25" customHeight="1">
      <c r="A37" s="206" t="s">
        <v>141</v>
      </c>
      <c r="B37" s="158">
        <f>'3'!F37</f>
        <v>320</v>
      </c>
      <c r="C37" s="159"/>
      <c r="D37" s="162">
        <f t="shared" si="5"/>
        <v>320</v>
      </c>
      <c r="E37" s="161"/>
      <c r="F37" s="162">
        <f t="shared" si="6"/>
        <v>320</v>
      </c>
      <c r="G37" s="664"/>
      <c r="H37" s="74"/>
      <c r="I37" s="74"/>
    </row>
    <row r="38" spans="1:11" ht="123">
      <c r="A38" s="206" t="s">
        <v>142</v>
      </c>
      <c r="B38" s="158">
        <f>'3'!F38</f>
        <v>103</v>
      </c>
      <c r="C38" s="159"/>
      <c r="D38" s="162">
        <f t="shared" si="5"/>
        <v>103</v>
      </c>
      <c r="E38" s="161"/>
      <c r="F38" s="162">
        <f t="shared" si="6"/>
        <v>103</v>
      </c>
      <c r="G38" s="190"/>
      <c r="H38" s="59"/>
      <c r="I38" s="59"/>
    </row>
    <row r="39" spans="1:11" ht="95.25" customHeight="1">
      <c r="A39" s="206" t="s">
        <v>143</v>
      </c>
      <c r="B39" s="158">
        <f>'3'!F39</f>
        <v>0</v>
      </c>
      <c r="C39" s="159"/>
      <c r="D39" s="162">
        <f t="shared" si="5"/>
        <v>0</v>
      </c>
      <c r="E39" s="161"/>
      <c r="F39" s="162">
        <f t="shared" si="6"/>
        <v>0</v>
      </c>
      <c r="G39" s="72"/>
      <c r="H39" s="59"/>
      <c r="I39" s="59"/>
    </row>
    <row r="40" spans="1:11" ht="95.25" customHeight="1">
      <c r="A40" s="206" t="s">
        <v>144</v>
      </c>
      <c r="B40" s="158">
        <f>'3'!F40</f>
        <v>0</v>
      </c>
      <c r="C40" s="159"/>
      <c r="D40" s="162">
        <f t="shared" si="5"/>
        <v>0</v>
      </c>
      <c r="E40" s="161"/>
      <c r="F40" s="162">
        <f t="shared" si="6"/>
        <v>0</v>
      </c>
      <c r="G40" s="72"/>
      <c r="H40" s="59"/>
      <c r="I40" s="59"/>
    </row>
    <row r="41" spans="1:11" ht="170.25" customHeight="1">
      <c r="A41" s="206" t="s">
        <v>145</v>
      </c>
      <c r="B41" s="158">
        <f>'3'!F41</f>
        <v>190</v>
      </c>
      <c r="C41" s="159"/>
      <c r="D41" s="162">
        <f t="shared" si="5"/>
        <v>190</v>
      </c>
      <c r="E41" s="161">
        <v>20</v>
      </c>
      <c r="F41" s="162">
        <f t="shared" si="6"/>
        <v>170</v>
      </c>
      <c r="G41" s="190" t="s">
        <v>207</v>
      </c>
      <c r="H41" s="59"/>
      <c r="I41" s="59"/>
    </row>
    <row r="42" spans="1:11" ht="123">
      <c r="A42" s="206" t="s">
        <v>86</v>
      </c>
      <c r="B42" s="158">
        <f>'3'!F42</f>
        <v>0</v>
      </c>
      <c r="C42" s="159"/>
      <c r="D42" s="162">
        <f t="shared" si="5"/>
        <v>0</v>
      </c>
      <c r="E42" s="161"/>
      <c r="F42" s="162">
        <f t="shared" si="6"/>
        <v>0</v>
      </c>
      <c r="G42" s="75"/>
      <c r="H42" s="76"/>
      <c r="I42" s="59"/>
      <c r="J42" s="124"/>
    </row>
    <row r="43" spans="1:11" ht="95.25" customHeight="1">
      <c r="A43" s="206" t="s">
        <v>146</v>
      </c>
      <c r="B43" s="158">
        <f>'3'!F43</f>
        <v>20</v>
      </c>
      <c r="C43" s="159"/>
      <c r="D43" s="162">
        <f t="shared" si="5"/>
        <v>20</v>
      </c>
      <c r="E43" s="161"/>
      <c r="F43" s="162">
        <f t="shared" si="6"/>
        <v>20</v>
      </c>
      <c r="G43" s="73"/>
      <c r="H43" s="74"/>
      <c r="I43" s="74"/>
    </row>
    <row r="44" spans="1:11" ht="184.5">
      <c r="A44" s="206" t="s">
        <v>147</v>
      </c>
      <c r="B44" s="158">
        <f>'3'!F44</f>
        <v>0</v>
      </c>
      <c r="C44" s="159"/>
      <c r="D44" s="162">
        <f t="shared" si="5"/>
        <v>0</v>
      </c>
      <c r="E44" s="161"/>
      <c r="F44" s="162">
        <f t="shared" si="6"/>
        <v>0</v>
      </c>
      <c r="G44" s="77"/>
      <c r="H44" s="57"/>
      <c r="I44" s="76"/>
    </row>
    <row r="45" spans="1:11" ht="123">
      <c r="A45" s="210" t="s">
        <v>148</v>
      </c>
      <c r="B45" s="158">
        <f>'3'!F45</f>
        <v>0</v>
      </c>
      <c r="C45" s="159"/>
      <c r="D45" s="162">
        <f t="shared" si="5"/>
        <v>0</v>
      </c>
      <c r="E45" s="161"/>
      <c r="F45" s="162">
        <f t="shared" si="6"/>
        <v>0</v>
      </c>
      <c r="G45" s="211"/>
      <c r="H45" s="57"/>
      <c r="I45" s="76"/>
    </row>
    <row r="46" spans="1:11" ht="76.5" customHeight="1">
      <c r="A46" s="212" t="s">
        <v>92</v>
      </c>
      <c r="B46" s="158">
        <f>'3'!F46</f>
        <v>0</v>
      </c>
      <c r="C46" s="159"/>
      <c r="D46" s="163">
        <f t="shared" si="5"/>
        <v>0</v>
      </c>
      <c r="E46" s="161"/>
      <c r="F46" s="163">
        <f t="shared" si="6"/>
        <v>0</v>
      </c>
      <c r="G46" s="278"/>
      <c r="H46" s="57"/>
      <c r="I46" s="59"/>
    </row>
    <row r="47" spans="1:11" ht="93.75" customHeight="1">
      <c r="A47" s="83"/>
      <c r="B47" s="84"/>
      <c r="C47" s="84"/>
      <c r="D47" s="84"/>
      <c r="E47" s="84"/>
      <c r="F47" s="85"/>
      <c r="G47" s="86"/>
      <c r="H47" s="57"/>
      <c r="I47" s="110"/>
      <c r="J47" s="57"/>
    </row>
    <row r="48" spans="1:11" ht="75.75" customHeight="1">
      <c r="A48" s="87" t="s">
        <v>149</v>
      </c>
      <c r="B48" s="88" t="s">
        <v>150</v>
      </c>
      <c r="C48" s="89" t="s">
        <v>151</v>
      </c>
      <c r="D48" s="89" t="s">
        <v>152</v>
      </c>
      <c r="E48" s="90" t="s">
        <v>153</v>
      </c>
      <c r="F48" s="89" t="s">
        <v>154</v>
      </c>
      <c r="G48" s="91" t="s">
        <v>155</v>
      </c>
      <c r="H48" s="89" t="s">
        <v>156</v>
      </c>
      <c r="I48" s="88" t="s">
        <v>42</v>
      </c>
      <c r="J48" s="56"/>
      <c r="K48" s="1"/>
    </row>
    <row r="49" spans="1:11" s="2" customFormat="1" ht="75.75" customHeight="1">
      <c r="A49" s="92" t="s">
        <v>157</v>
      </c>
      <c r="B49" s="93">
        <v>0</v>
      </c>
      <c r="C49" s="94">
        <v>0</v>
      </c>
      <c r="D49" s="94">
        <v>0</v>
      </c>
      <c r="E49" s="94">
        <v>0</v>
      </c>
      <c r="F49" s="95">
        <v>0</v>
      </c>
      <c r="G49" s="96">
        <v>0</v>
      </c>
      <c r="H49" s="97">
        <v>0</v>
      </c>
      <c r="I49" s="125"/>
      <c r="J49" s="126"/>
      <c r="K49" s="127"/>
    </row>
    <row r="50" spans="1:11" s="2" customFormat="1" ht="75.75" customHeight="1">
      <c r="A50" s="98" t="s">
        <v>158</v>
      </c>
      <c r="B50" s="99">
        <v>0</v>
      </c>
      <c r="C50" s="100">
        <v>0</v>
      </c>
      <c r="D50" s="100">
        <v>0</v>
      </c>
      <c r="E50" s="100">
        <v>0</v>
      </c>
      <c r="F50" s="101">
        <v>0</v>
      </c>
      <c r="G50" s="102">
        <v>0</v>
      </c>
      <c r="H50" s="103">
        <v>0</v>
      </c>
      <c r="I50" s="128"/>
      <c r="J50" s="126"/>
      <c r="K50" s="127"/>
    </row>
    <row r="51" spans="1:11" s="2" customFormat="1" ht="76.5" customHeight="1">
      <c r="A51" s="104" t="s">
        <v>159</v>
      </c>
      <c r="B51" s="105">
        <v>0</v>
      </c>
      <c r="C51" s="106">
        <v>0</v>
      </c>
      <c r="D51" s="106">
        <v>0</v>
      </c>
      <c r="E51" s="106">
        <v>0</v>
      </c>
      <c r="F51" s="107">
        <v>0</v>
      </c>
      <c r="G51" s="108">
        <v>0</v>
      </c>
      <c r="H51" s="109">
        <v>0</v>
      </c>
      <c r="I51" s="129"/>
      <c r="J51" s="130"/>
      <c r="K51" s="127"/>
    </row>
    <row r="52" spans="1:11">
      <c r="C52" s="110"/>
      <c r="D52" s="110"/>
      <c r="E52" s="110"/>
      <c r="F52" s="84"/>
      <c r="G52" s="84"/>
      <c r="H52" s="84"/>
      <c r="I52" s="110"/>
      <c r="J52" s="131"/>
      <c r="K52" s="1"/>
    </row>
  </sheetData>
  <sheetProtection sheet="1" objects="1" scenarios="1" formatCells="0" formatColumns="0" formatRows="0" insertColumns="0" insertRows="0"/>
  <mergeCells count="31">
    <mergeCell ref="A33:G33"/>
    <mergeCell ref="I2:L4"/>
    <mergeCell ref="G27:H27"/>
    <mergeCell ref="K27:L27"/>
    <mergeCell ref="H29:I29"/>
    <mergeCell ref="H30:I30"/>
    <mergeCell ref="H31:I31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7:L7"/>
    <mergeCell ref="K8:L8"/>
    <mergeCell ref="K9:L9"/>
    <mergeCell ref="K10:L10"/>
    <mergeCell ref="K20:L20"/>
    <mergeCell ref="K11:L11"/>
    <mergeCell ref="K12:L12"/>
    <mergeCell ref="K13:L13"/>
    <mergeCell ref="K14:L14"/>
    <mergeCell ref="K15:L15"/>
    <mergeCell ref="A1:L1"/>
    <mergeCell ref="C2:F2"/>
    <mergeCell ref="A4:B4"/>
    <mergeCell ref="K5:L5"/>
    <mergeCell ref="K6:L6"/>
  </mergeCells>
  <pageMargins left="0.70866141732283472" right="0.70866141732283472" top="0.74803149606299213" bottom="0.74803149606299213" header="0.31496062992125984" footer="0.31496062992125984"/>
  <pageSetup scale="1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3"/>
  <sheetViews>
    <sheetView topLeftCell="A28" zoomScale="25" zoomScaleNormal="25" workbookViewId="0">
      <selection activeCell="C6" sqref="C6"/>
    </sheetView>
  </sheetViews>
  <sheetFormatPr defaultColWidth="9" defaultRowHeight="33.75"/>
  <cols>
    <col min="1" max="1" width="73.140625" style="3" customWidth="1"/>
    <col min="2" max="2" width="60" style="3" customWidth="1"/>
    <col min="3" max="5" width="48" style="3" customWidth="1"/>
    <col min="6" max="6" width="58.28515625" style="3" customWidth="1"/>
    <col min="7" max="7" width="64" style="3" customWidth="1"/>
    <col min="8" max="8" width="57.140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177</v>
      </c>
      <c r="C2" s="893"/>
      <c r="D2" s="893"/>
      <c r="E2" s="893"/>
      <c r="F2" s="893"/>
      <c r="G2" s="252" t="s">
        <v>107</v>
      </c>
      <c r="H2" s="253">
        <v>46239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13.5</v>
      </c>
      <c r="D4" s="14">
        <v>10.5</v>
      </c>
      <c r="E4" s="14">
        <v>0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'4'!I6</f>
        <v>238</v>
      </c>
      <c r="C6" s="133">
        <v>200</v>
      </c>
      <c r="D6" s="134">
        <f t="shared" ref="D6:D15" si="0">B6+C6</f>
        <v>438</v>
      </c>
      <c r="E6" s="135">
        <v>105</v>
      </c>
      <c r="F6" s="136">
        <v>15</v>
      </c>
      <c r="G6" s="137">
        <f>'4'!H6</f>
        <v>25174.5</v>
      </c>
      <c r="H6" s="138">
        <f>SUM(G6,F6)</f>
        <v>25189.5</v>
      </c>
      <c r="I6" s="165">
        <f>D6-E6</f>
        <v>333</v>
      </c>
      <c r="J6" s="166">
        <f t="shared" ref="J6:J27" si="1">E6/F6</f>
        <v>7</v>
      </c>
      <c r="K6" s="908"/>
      <c r="L6" s="909"/>
    </row>
    <row r="7" spans="1:12" ht="152.25" customHeight="1" thickBot="1">
      <c r="A7" s="217" t="s">
        <v>162</v>
      </c>
      <c r="B7" s="132">
        <f>'4'!I7</f>
        <v>101</v>
      </c>
      <c r="C7" s="133">
        <v>200</v>
      </c>
      <c r="D7" s="139">
        <f t="shared" si="0"/>
        <v>301</v>
      </c>
      <c r="E7" s="135">
        <v>0</v>
      </c>
      <c r="F7" s="136">
        <v>0</v>
      </c>
      <c r="G7" s="137">
        <f>'4'!H7</f>
        <v>1473</v>
      </c>
      <c r="H7" s="134">
        <f t="shared" ref="H7:H27" si="2">SUM(G7,F7)</f>
        <v>1473</v>
      </c>
      <c r="I7" s="167">
        <f t="shared" ref="I7:I27" si="3">D7-E7</f>
        <v>301</v>
      </c>
      <c r="J7" s="168" t="e">
        <f t="shared" si="1"/>
        <v>#DIV/0!</v>
      </c>
      <c r="K7" s="908"/>
      <c r="L7" s="909"/>
    </row>
    <row r="8" spans="1:12" ht="197.25" customHeight="1" thickBot="1">
      <c r="A8" s="217" t="s">
        <v>163</v>
      </c>
      <c r="B8" s="132">
        <f>'4'!I8</f>
        <v>112</v>
      </c>
      <c r="C8" s="133">
        <v>150</v>
      </c>
      <c r="D8" s="139">
        <f t="shared" si="0"/>
        <v>262</v>
      </c>
      <c r="E8" s="135">
        <v>148</v>
      </c>
      <c r="F8" s="136">
        <v>24</v>
      </c>
      <c r="G8" s="137">
        <f>'4'!H8</f>
        <v>1277</v>
      </c>
      <c r="H8" s="134">
        <f t="shared" si="2"/>
        <v>1301</v>
      </c>
      <c r="I8" s="167">
        <f t="shared" si="3"/>
        <v>114</v>
      </c>
      <c r="J8" s="168">
        <f t="shared" si="1"/>
        <v>6.166666666666667</v>
      </c>
      <c r="K8" s="862"/>
      <c r="L8" s="863"/>
    </row>
    <row r="9" spans="1:12" ht="179.25" customHeight="1">
      <c r="A9" s="217" t="s">
        <v>164</v>
      </c>
      <c r="B9" s="132">
        <f>'4'!I9</f>
        <v>95</v>
      </c>
      <c r="C9" s="133">
        <v>30</v>
      </c>
      <c r="D9" s="139">
        <f t="shared" si="0"/>
        <v>125</v>
      </c>
      <c r="E9" s="135">
        <v>0</v>
      </c>
      <c r="F9" s="136">
        <v>0</v>
      </c>
      <c r="G9" s="137">
        <f>'4'!H9</f>
        <v>3210</v>
      </c>
      <c r="H9" s="134">
        <f t="shared" si="2"/>
        <v>3210</v>
      </c>
      <c r="I9" s="167">
        <f t="shared" si="3"/>
        <v>125</v>
      </c>
      <c r="J9" s="168" t="e">
        <f t="shared" si="1"/>
        <v>#DIV/0!</v>
      </c>
      <c r="K9" s="862"/>
      <c r="L9" s="863"/>
    </row>
    <row r="10" spans="1:12" ht="182.25" customHeight="1" thickBot="1">
      <c r="A10" s="217" t="s">
        <v>165</v>
      </c>
      <c r="B10" s="132">
        <f>'4'!I10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'4'!H10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206.25" hidden="1" customHeight="1">
      <c r="A11" s="217" t="s">
        <v>166</v>
      </c>
      <c r="B11" s="132" t="e">
        <f>'4'!#REF!</f>
        <v>#REF!</v>
      </c>
      <c r="C11" s="133">
        <v>0</v>
      </c>
      <c r="D11" s="139" t="e">
        <f t="shared" si="0"/>
        <v>#REF!</v>
      </c>
      <c r="E11" s="135"/>
      <c r="F11" s="136"/>
      <c r="G11" s="137" t="e">
        <f>'4'!#REF!</f>
        <v>#REF!</v>
      </c>
      <c r="H11" s="134" t="e">
        <f t="shared" si="2"/>
        <v>#REF!</v>
      </c>
      <c r="I11" s="167" t="e">
        <f t="shared" si="3"/>
        <v>#REF!</v>
      </c>
      <c r="J11" s="168" t="e">
        <f t="shared" si="1"/>
        <v>#DIV/0!</v>
      </c>
      <c r="K11" s="862"/>
      <c r="L11" s="863"/>
    </row>
    <row r="12" spans="1:12" ht="194.25" customHeight="1" thickBot="1">
      <c r="A12" s="217" t="s">
        <v>5</v>
      </c>
      <c r="B12" s="132">
        <f>'4'!I11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'4'!H11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 thickBot="1">
      <c r="A13" s="217" t="s">
        <v>167</v>
      </c>
      <c r="B13" s="132">
        <f>'4'!I12</f>
        <v>23</v>
      </c>
      <c r="C13" s="133">
        <v>0</v>
      </c>
      <c r="D13" s="139">
        <f t="shared" si="0"/>
        <v>23</v>
      </c>
      <c r="E13" s="135">
        <v>0</v>
      </c>
      <c r="F13" s="136">
        <v>0</v>
      </c>
      <c r="G13" s="137">
        <f>'4'!H12</f>
        <v>9</v>
      </c>
      <c r="H13" s="134">
        <f t="shared" si="2"/>
        <v>9</v>
      </c>
      <c r="I13" s="167">
        <f t="shared" si="3"/>
        <v>23</v>
      </c>
      <c r="J13" s="168" t="e">
        <f t="shared" si="1"/>
        <v>#DIV/0!</v>
      </c>
      <c r="K13" s="862"/>
      <c r="L13" s="863"/>
    </row>
    <row r="14" spans="1:12" ht="152.25" customHeight="1">
      <c r="A14" s="217" t="s">
        <v>168</v>
      </c>
      <c r="B14" s="132">
        <f>'4'!I13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'4'!H13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236.25" customHeight="1">
      <c r="A15" s="217" t="s">
        <v>169</v>
      </c>
      <c r="B15" s="132">
        <f>'4'!I14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'4'!H14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203.25" customHeight="1">
      <c r="A16" s="217" t="s">
        <v>170</v>
      </c>
      <c r="B16" s="132">
        <f>'4'!I15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'4'!H15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88.25" customHeight="1">
      <c r="A17" s="217" t="s">
        <v>171</v>
      </c>
      <c r="B17" s="132">
        <f>'4'!I16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'4'!H16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87" t="s">
        <v>11</v>
      </c>
      <c r="B18" s="132">
        <f>'4'!I17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'4'!H17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255">
        <f>'4'!I18</f>
        <v>0</v>
      </c>
      <c r="C19" s="133">
        <v>0</v>
      </c>
      <c r="D19" s="257">
        <f t="shared" si="4"/>
        <v>0</v>
      </c>
      <c r="E19" s="258"/>
      <c r="F19" s="259"/>
      <c r="G19" s="260">
        <f>'4'!H18</f>
        <v>0</v>
      </c>
      <c r="H19" s="261">
        <f t="shared" si="2"/>
        <v>0</v>
      </c>
      <c r="I19" s="273">
        <f t="shared" si="3"/>
        <v>0</v>
      </c>
      <c r="J19" s="274" t="e">
        <f t="shared" si="1"/>
        <v>#DIV/0!</v>
      </c>
      <c r="K19" s="862"/>
      <c r="L19" s="863"/>
    </row>
    <row r="20" spans="1:12" ht="152.25" hidden="1" customHeight="1">
      <c r="A20" s="197"/>
      <c r="B20" s="255">
        <f>'4'!I19</f>
        <v>0</v>
      </c>
      <c r="C20" s="133">
        <v>0</v>
      </c>
      <c r="D20" s="257">
        <f t="shared" si="4"/>
        <v>0</v>
      </c>
      <c r="E20" s="258"/>
      <c r="F20" s="259"/>
      <c r="G20" s="260">
        <f>'4'!H19</f>
        <v>0</v>
      </c>
      <c r="H20" s="261">
        <f t="shared" si="2"/>
        <v>0</v>
      </c>
      <c r="I20" s="273">
        <f t="shared" si="3"/>
        <v>0</v>
      </c>
      <c r="J20" s="274" t="e">
        <f t="shared" si="1"/>
        <v>#DIV/0!</v>
      </c>
      <c r="K20" s="862"/>
      <c r="L20" s="863"/>
    </row>
    <row r="21" spans="1:12" ht="152.25" hidden="1" customHeight="1">
      <c r="A21" s="197"/>
      <c r="B21" s="255">
        <f>'4'!I20</f>
        <v>0</v>
      </c>
      <c r="C21" s="133">
        <v>0</v>
      </c>
      <c r="D21" s="257">
        <f t="shared" si="4"/>
        <v>0</v>
      </c>
      <c r="E21" s="258"/>
      <c r="F21" s="259"/>
      <c r="G21" s="260">
        <f>'4'!H20</f>
        <v>0</v>
      </c>
      <c r="H21" s="261">
        <f t="shared" si="2"/>
        <v>0</v>
      </c>
      <c r="I21" s="273">
        <f t="shared" si="3"/>
        <v>0</v>
      </c>
      <c r="J21" s="274" t="e">
        <f t="shared" si="1"/>
        <v>#DIV/0!</v>
      </c>
      <c r="K21" s="862"/>
      <c r="L21" s="863"/>
    </row>
    <row r="22" spans="1:12" ht="152.25" hidden="1" customHeight="1">
      <c r="A22" s="197"/>
      <c r="B22" s="255">
        <f>'4'!I21</f>
        <v>0</v>
      </c>
      <c r="C22" s="133">
        <v>0</v>
      </c>
      <c r="D22" s="257">
        <f t="shared" si="4"/>
        <v>0</v>
      </c>
      <c r="E22" s="258"/>
      <c r="F22" s="259"/>
      <c r="G22" s="260">
        <f>'4'!H21</f>
        <v>0</v>
      </c>
      <c r="H22" s="261">
        <f t="shared" si="2"/>
        <v>0</v>
      </c>
      <c r="I22" s="273">
        <f t="shared" si="3"/>
        <v>0</v>
      </c>
      <c r="J22" s="274" t="e">
        <f t="shared" si="1"/>
        <v>#DIV/0!</v>
      </c>
      <c r="K22" s="862"/>
      <c r="L22" s="863"/>
    </row>
    <row r="23" spans="1:12" ht="152.25" hidden="1" customHeight="1">
      <c r="A23" s="197"/>
      <c r="B23" s="255">
        <f>'4'!I22</f>
        <v>0</v>
      </c>
      <c r="C23" s="133">
        <v>0</v>
      </c>
      <c r="D23" s="257">
        <f t="shared" si="4"/>
        <v>0</v>
      </c>
      <c r="E23" s="263"/>
      <c r="F23" s="264"/>
      <c r="G23" s="260">
        <f>'4'!H22</f>
        <v>0</v>
      </c>
      <c r="H23" s="261">
        <f t="shared" si="2"/>
        <v>0</v>
      </c>
      <c r="I23" s="273">
        <f t="shared" si="3"/>
        <v>0</v>
      </c>
      <c r="J23" s="274" t="e">
        <f t="shared" si="1"/>
        <v>#DIV/0!</v>
      </c>
      <c r="K23" s="862"/>
      <c r="L23" s="863"/>
    </row>
    <row r="24" spans="1:12" ht="152.25" hidden="1" customHeight="1">
      <c r="A24" s="197"/>
      <c r="B24" s="255">
        <f>'4'!I23</f>
        <v>0</v>
      </c>
      <c r="C24" s="133">
        <v>0</v>
      </c>
      <c r="D24" s="257">
        <f t="shared" si="4"/>
        <v>0</v>
      </c>
      <c r="E24" s="263"/>
      <c r="F24" s="264"/>
      <c r="G24" s="260">
        <f>'4'!H23</f>
        <v>0</v>
      </c>
      <c r="H24" s="261">
        <f t="shared" si="2"/>
        <v>0</v>
      </c>
      <c r="I24" s="273">
        <f t="shared" si="3"/>
        <v>0</v>
      </c>
      <c r="J24" s="274" t="e">
        <f t="shared" si="1"/>
        <v>#DIV/0!</v>
      </c>
      <c r="K24" s="862"/>
      <c r="L24" s="863"/>
    </row>
    <row r="25" spans="1:12" ht="152.25" hidden="1" customHeight="1">
      <c r="A25" s="197"/>
      <c r="B25" s="255">
        <f>'4'!I24</f>
        <v>0</v>
      </c>
      <c r="C25" s="133">
        <v>0</v>
      </c>
      <c r="D25" s="257">
        <f t="shared" si="4"/>
        <v>0</v>
      </c>
      <c r="E25" s="263"/>
      <c r="F25" s="264"/>
      <c r="G25" s="260">
        <f>'4'!H24</f>
        <v>0</v>
      </c>
      <c r="H25" s="261">
        <f t="shared" si="2"/>
        <v>0</v>
      </c>
      <c r="I25" s="273">
        <f t="shared" si="3"/>
        <v>0</v>
      </c>
      <c r="J25" s="274" t="e">
        <f t="shared" si="1"/>
        <v>#DIV/0!</v>
      </c>
      <c r="K25" s="862"/>
      <c r="L25" s="863"/>
    </row>
    <row r="26" spans="1:12" ht="152.25" hidden="1" customHeight="1">
      <c r="A26" s="197"/>
      <c r="B26" s="255">
        <f>'4'!I25</f>
        <v>0</v>
      </c>
      <c r="C26" s="133">
        <v>0</v>
      </c>
      <c r="D26" s="266">
        <f t="shared" si="4"/>
        <v>0</v>
      </c>
      <c r="E26" s="267"/>
      <c r="F26" s="268"/>
      <c r="G26" s="260">
        <f>'4'!H25</f>
        <v>0</v>
      </c>
      <c r="H26" s="269">
        <f t="shared" si="2"/>
        <v>0</v>
      </c>
      <c r="I26" s="275">
        <f t="shared" si="3"/>
        <v>0</v>
      </c>
      <c r="J26" s="276" t="e">
        <f t="shared" si="1"/>
        <v>#DIV/0!</v>
      </c>
      <c r="K26" s="862"/>
      <c r="L26" s="863"/>
    </row>
    <row r="27" spans="1:12" ht="152.25" hidden="1" customHeight="1">
      <c r="A27" s="198"/>
      <c r="B27" s="255">
        <f>'4'!I26</f>
        <v>0</v>
      </c>
      <c r="C27" s="133">
        <v>0</v>
      </c>
      <c r="D27" s="266">
        <f t="shared" si="4"/>
        <v>0</v>
      </c>
      <c r="E27" s="270"/>
      <c r="F27" s="268"/>
      <c r="G27" s="260">
        <f>'4'!H26</f>
        <v>0</v>
      </c>
      <c r="H27" s="269">
        <f t="shared" si="2"/>
        <v>0</v>
      </c>
      <c r="I27" s="275">
        <f t="shared" si="3"/>
        <v>0</v>
      </c>
      <c r="J27" s="276" t="e">
        <f t="shared" si="1"/>
        <v>#DIV/0!</v>
      </c>
      <c r="K27" s="214"/>
      <c r="L27" s="215"/>
    </row>
    <row r="28" spans="1:12" ht="152.25" customHeight="1" thickBot="1">
      <c r="A28" s="199" t="s">
        <v>114</v>
      </c>
      <c r="B28" s="41"/>
      <c r="C28" s="40">
        <f>SUM(C6:C27)</f>
        <v>580</v>
      </c>
      <c r="D28" s="40" t="e">
        <f t="shared" ref="D28:F28" si="5">SUM(D6:D27)</f>
        <v>#REF!</v>
      </c>
      <c r="E28" s="40">
        <f t="shared" si="5"/>
        <v>253</v>
      </c>
      <c r="F28" s="40">
        <f t="shared" si="5"/>
        <v>39</v>
      </c>
      <c r="G28" s="883"/>
      <c r="H28" s="884"/>
      <c r="I28" s="40" t="e">
        <f t="shared" ref="I28" si="6">SUM(I6:I27)</f>
        <v>#REF!</v>
      </c>
      <c r="J28" s="244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184.5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'4'!G30</f>
        <v>415</v>
      </c>
      <c r="C31" s="154">
        <v>800</v>
      </c>
      <c r="D31" s="17">
        <f>SUM(B31:C31)</f>
        <v>1215</v>
      </c>
      <c r="E31" s="155">
        <f>C28</f>
        <v>580</v>
      </c>
      <c r="F31" s="17">
        <f>E28</f>
        <v>253</v>
      </c>
      <c r="G31" s="156">
        <f>D31-E31</f>
        <v>635</v>
      </c>
      <c r="H31" s="900"/>
      <c r="I31" s="901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84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88.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206.2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31.25" customHeight="1">
      <c r="A36" s="205" t="s">
        <v>139</v>
      </c>
      <c r="B36" s="158">
        <f>'4'!F35</f>
        <v>92</v>
      </c>
      <c r="C36" s="159"/>
      <c r="D36" s="160">
        <f>SUM(B36:C36)</f>
        <v>92</v>
      </c>
      <c r="E36" s="161"/>
      <c r="F36" s="160">
        <f>D36-E36</f>
        <v>92</v>
      </c>
      <c r="G36" s="657"/>
      <c r="H36" s="59"/>
      <c r="I36" s="59"/>
    </row>
    <row r="37" spans="1:10" ht="101.25" customHeight="1">
      <c r="A37" s="206" t="s">
        <v>140</v>
      </c>
      <c r="B37" s="158">
        <f>'4'!F36</f>
        <v>420</v>
      </c>
      <c r="C37" s="159"/>
      <c r="D37" s="162">
        <f t="shared" ref="D37:D47" si="7">SUM(B37:C37)</f>
        <v>420</v>
      </c>
      <c r="E37" s="161"/>
      <c r="F37" s="162">
        <f t="shared" ref="F37:F47" si="8">D37-E37</f>
        <v>420</v>
      </c>
      <c r="G37" s="72"/>
      <c r="H37" s="59"/>
      <c r="I37" s="59"/>
    </row>
    <row r="38" spans="1:10" ht="159.6" customHeight="1">
      <c r="A38" s="206" t="s">
        <v>141</v>
      </c>
      <c r="B38" s="158">
        <f>'4'!F37</f>
        <v>320</v>
      </c>
      <c r="C38" s="159"/>
      <c r="D38" s="162">
        <f t="shared" si="7"/>
        <v>320</v>
      </c>
      <c r="E38" s="161">
        <v>20</v>
      </c>
      <c r="F38" s="162">
        <f t="shared" si="8"/>
        <v>300</v>
      </c>
      <c r="G38" s="725" t="s">
        <v>208</v>
      </c>
      <c r="H38" s="74"/>
      <c r="I38" s="74"/>
    </row>
    <row r="39" spans="1:10" ht="101.25" customHeight="1">
      <c r="A39" s="206" t="s">
        <v>142</v>
      </c>
      <c r="B39" s="158">
        <f>'4'!F38</f>
        <v>103</v>
      </c>
      <c r="C39" s="159"/>
      <c r="D39" s="162">
        <f t="shared" si="7"/>
        <v>103</v>
      </c>
      <c r="E39" s="161">
        <v>5</v>
      </c>
      <c r="F39" s="162">
        <f t="shared" si="8"/>
        <v>98</v>
      </c>
      <c r="G39" s="295" t="s">
        <v>209</v>
      </c>
      <c r="H39" s="59"/>
      <c r="I39" s="59"/>
    </row>
    <row r="40" spans="1:10" ht="101.25" customHeight="1">
      <c r="A40" s="206" t="s">
        <v>143</v>
      </c>
      <c r="B40" s="158">
        <f>'4'!F39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01.25" customHeight="1">
      <c r="A41" s="206" t="s">
        <v>144</v>
      </c>
      <c r="B41" s="158">
        <f>'4'!F40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01.25" customHeight="1">
      <c r="A42" s="206" t="s">
        <v>145</v>
      </c>
      <c r="B42" s="158">
        <f>'4'!F41</f>
        <v>170</v>
      </c>
      <c r="C42" s="159"/>
      <c r="D42" s="162">
        <f t="shared" si="7"/>
        <v>170</v>
      </c>
      <c r="E42" s="161"/>
      <c r="F42" s="162">
        <f t="shared" si="8"/>
        <v>170</v>
      </c>
      <c r="G42" s="72"/>
      <c r="H42" s="59"/>
      <c r="I42" s="59"/>
    </row>
    <row r="43" spans="1:10" ht="101.25" customHeight="1">
      <c r="A43" s="206" t="s">
        <v>86</v>
      </c>
      <c r="B43" s="158">
        <f>'4'!F42</f>
        <v>0</v>
      </c>
      <c r="C43" s="159"/>
      <c r="D43" s="162">
        <f t="shared" si="7"/>
        <v>0</v>
      </c>
      <c r="E43" s="161"/>
      <c r="F43" s="162">
        <f t="shared" si="8"/>
        <v>0</v>
      </c>
      <c r="G43" s="667"/>
      <c r="H43" s="76"/>
      <c r="I43" s="59"/>
      <c r="J43" s="124"/>
    </row>
    <row r="44" spans="1:10" ht="101.25" customHeight="1">
      <c r="A44" s="206" t="s">
        <v>146</v>
      </c>
      <c r="B44" s="158">
        <f>'4'!F43</f>
        <v>20</v>
      </c>
      <c r="C44" s="159"/>
      <c r="D44" s="162">
        <f t="shared" si="7"/>
        <v>20</v>
      </c>
      <c r="E44" s="161"/>
      <c r="F44" s="162">
        <f t="shared" si="8"/>
        <v>20</v>
      </c>
      <c r="G44" s="73"/>
      <c r="H44" s="74"/>
      <c r="I44" s="74"/>
    </row>
    <row r="45" spans="1:10" ht="101.25" customHeight="1">
      <c r="A45" s="206" t="s">
        <v>147</v>
      </c>
      <c r="B45" s="158">
        <f>'4'!F44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04.25" customHeight="1">
      <c r="A46" s="210" t="s">
        <v>148</v>
      </c>
      <c r="B46" s="158">
        <f>'4'!F45</f>
        <v>0</v>
      </c>
      <c r="C46" s="159"/>
      <c r="D46" s="162">
        <f t="shared" si="7"/>
        <v>0</v>
      </c>
      <c r="E46" s="161"/>
      <c r="F46" s="162">
        <f t="shared" si="8"/>
        <v>0</v>
      </c>
      <c r="G46" s="662"/>
      <c r="H46" s="57"/>
      <c r="I46" s="76"/>
    </row>
    <row r="47" spans="1:10" ht="92.25">
      <c r="A47" s="212" t="s">
        <v>92</v>
      </c>
      <c r="B47" s="158">
        <f>'4'!F46</f>
        <v>0</v>
      </c>
      <c r="C47" s="159"/>
      <c r="D47" s="163">
        <f t="shared" si="7"/>
        <v>0</v>
      </c>
      <c r="E47" s="161"/>
      <c r="F47" s="163">
        <f t="shared" si="8"/>
        <v>0</v>
      </c>
      <c r="G47" s="278"/>
      <c r="H47" s="57"/>
      <c r="I47" s="59"/>
    </row>
    <row r="48" spans="1:10" ht="120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20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20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20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115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0866141732283472" right="0.70866141732283472" top="0.74803149606299213" bottom="0.74803149606299213" header="0.31496062992125984" footer="0.31496062992125984"/>
  <pageSetup scale="1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7"/>
  <sheetViews>
    <sheetView topLeftCell="A10" zoomScale="25" zoomScaleNormal="25" zoomScaleSheetLayoutView="32" workbookViewId="0">
      <selection activeCell="C9" sqref="C9"/>
    </sheetView>
  </sheetViews>
  <sheetFormatPr defaultColWidth="9" defaultRowHeight="33.75"/>
  <cols>
    <col min="1" max="1" width="70.5703125" style="3" customWidth="1"/>
    <col min="2" max="2" width="66.28515625" style="3" customWidth="1"/>
    <col min="3" max="3" width="50" style="3" customWidth="1"/>
    <col min="4" max="4" width="58.140625" style="3" customWidth="1"/>
    <col min="5" max="5" width="53.140625" style="3" customWidth="1"/>
    <col min="6" max="6" width="55.5703125" style="3" customWidth="1"/>
    <col min="7" max="7" width="82.85546875" style="3" customWidth="1"/>
    <col min="8" max="8" width="61.140625" style="3" customWidth="1"/>
    <col min="9" max="9" width="47.7109375" style="3" customWidth="1"/>
    <col min="10" max="10" width="55.85546875" style="3" customWidth="1"/>
    <col min="11" max="11" width="48" style="3" customWidth="1"/>
    <col min="12" max="12" width="32.5703125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23">
      <c r="A2" s="250" t="s">
        <v>160</v>
      </c>
      <c r="B2" s="251" t="s">
        <v>177</v>
      </c>
      <c r="C2" s="893"/>
      <c r="D2" s="893"/>
      <c r="E2" s="893"/>
      <c r="F2" s="893"/>
      <c r="G2" s="252" t="s">
        <v>107</v>
      </c>
      <c r="H2" s="186">
        <v>46240</v>
      </c>
      <c r="I2" s="877"/>
      <c r="J2" s="877"/>
      <c r="K2" s="877"/>
      <c r="L2" s="878"/>
    </row>
    <row r="3" spans="1:12" ht="75.599999999999994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92.25">
      <c r="A4" s="894"/>
      <c r="B4" s="895"/>
      <c r="C4" s="14">
        <v>0</v>
      </c>
      <c r="D4" s="14">
        <v>1</v>
      </c>
      <c r="E4" s="14">
        <v>23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'5'!I6</f>
        <v>333</v>
      </c>
      <c r="C6" s="133">
        <v>0</v>
      </c>
      <c r="D6" s="134">
        <f t="shared" ref="D6:D14" si="0">B6+C6</f>
        <v>333</v>
      </c>
      <c r="E6" s="135">
        <v>12</v>
      </c>
      <c r="F6" s="136">
        <v>2</v>
      </c>
      <c r="G6" s="137">
        <f>'5'!H6</f>
        <v>25189.5</v>
      </c>
      <c r="H6" s="138">
        <f>SUM(G6,F6)</f>
        <v>25191.5</v>
      </c>
      <c r="I6" s="165">
        <f>D6-E6</f>
        <v>321</v>
      </c>
      <c r="J6" s="166">
        <f t="shared" ref="J6:J26" si="1">E6/F6</f>
        <v>6</v>
      </c>
      <c r="K6" s="910"/>
      <c r="L6" s="911"/>
    </row>
    <row r="7" spans="1:12" ht="152.25" customHeight="1" thickBot="1">
      <c r="A7" s="217" t="s">
        <v>162</v>
      </c>
      <c r="B7" s="132">
        <f>'5'!I7</f>
        <v>301</v>
      </c>
      <c r="C7" s="133">
        <v>0</v>
      </c>
      <c r="D7" s="139">
        <f t="shared" si="0"/>
        <v>301</v>
      </c>
      <c r="E7" s="135">
        <v>0</v>
      </c>
      <c r="F7" s="136">
        <v>0</v>
      </c>
      <c r="G7" s="137">
        <f>'5'!H7</f>
        <v>1473</v>
      </c>
      <c r="H7" s="134">
        <f t="shared" ref="H7:H26" si="2">SUM(G7,F7)</f>
        <v>1473</v>
      </c>
      <c r="I7" s="167">
        <f t="shared" ref="I7:I26" si="3">D7-E7</f>
        <v>301</v>
      </c>
      <c r="J7" s="168" t="e">
        <f t="shared" si="1"/>
        <v>#DIV/0!</v>
      </c>
      <c r="K7" s="910"/>
      <c r="L7" s="911"/>
    </row>
    <row r="8" spans="1:12" ht="246.75" thickBot="1">
      <c r="A8" s="217" t="s">
        <v>163</v>
      </c>
      <c r="B8" s="132">
        <f>'5'!I8</f>
        <v>114</v>
      </c>
      <c r="C8" s="133">
        <v>0</v>
      </c>
      <c r="D8" s="139">
        <f t="shared" si="0"/>
        <v>114</v>
      </c>
      <c r="E8" s="135">
        <v>0</v>
      </c>
      <c r="F8" s="136">
        <v>0</v>
      </c>
      <c r="G8" s="137">
        <f>'5'!H8</f>
        <v>1301</v>
      </c>
      <c r="H8" s="134">
        <f t="shared" si="2"/>
        <v>1301</v>
      </c>
      <c r="I8" s="167">
        <f t="shared" si="3"/>
        <v>114</v>
      </c>
      <c r="J8" s="168" t="e">
        <f t="shared" si="1"/>
        <v>#DIV/0!</v>
      </c>
      <c r="K8" s="862"/>
      <c r="L8" s="863"/>
    </row>
    <row r="9" spans="1:12" ht="246">
      <c r="A9" s="217" t="s">
        <v>164</v>
      </c>
      <c r="B9" s="132">
        <f>'5'!I9</f>
        <v>125</v>
      </c>
      <c r="C9" s="133">
        <v>130</v>
      </c>
      <c r="D9" s="139">
        <f t="shared" si="0"/>
        <v>255</v>
      </c>
      <c r="E9" s="135">
        <v>155</v>
      </c>
      <c r="F9" s="136">
        <v>24</v>
      </c>
      <c r="G9" s="137">
        <f>'5'!H9</f>
        <v>3210</v>
      </c>
      <c r="H9" s="134">
        <f t="shared" si="2"/>
        <v>3234</v>
      </c>
      <c r="I9" s="167">
        <f t="shared" si="3"/>
        <v>100</v>
      </c>
      <c r="J9" s="168">
        <f t="shared" si="1"/>
        <v>6.458333333333333</v>
      </c>
      <c r="K9" s="862"/>
      <c r="L9" s="863"/>
    </row>
    <row r="10" spans="1:12" ht="182.25" customHeight="1" thickBot="1">
      <c r="A10" s="217" t="s">
        <v>165</v>
      </c>
      <c r="B10" s="132">
        <f>'5'!I10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'5'!H10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52.25" customHeight="1" thickBot="1">
      <c r="A11" s="217" t="s">
        <v>5</v>
      </c>
      <c r="B11" s="132">
        <f>'5'!I12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'5'!H12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7" t="s">
        <v>167</v>
      </c>
      <c r="B12" s="132">
        <f>'5'!I13</f>
        <v>23</v>
      </c>
      <c r="C12" s="133">
        <v>0</v>
      </c>
      <c r="D12" s="139">
        <f t="shared" si="0"/>
        <v>23</v>
      </c>
      <c r="E12" s="135">
        <v>0</v>
      </c>
      <c r="F12" s="136">
        <v>0</v>
      </c>
      <c r="G12" s="137">
        <f>'5'!H13</f>
        <v>9</v>
      </c>
      <c r="H12" s="134">
        <f t="shared" si="2"/>
        <v>9</v>
      </c>
      <c r="I12" s="167">
        <f t="shared" si="3"/>
        <v>23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168</v>
      </c>
      <c r="B13" s="132">
        <f>'5'!I14</f>
        <v>0</v>
      </c>
      <c r="C13" s="133">
        <v>0</v>
      </c>
      <c r="D13" s="139">
        <f t="shared" si="0"/>
        <v>0</v>
      </c>
      <c r="E13" s="135">
        <v>0</v>
      </c>
      <c r="F13" s="136">
        <v>0</v>
      </c>
      <c r="G13" s="137">
        <f>'5'!H14</f>
        <v>0</v>
      </c>
      <c r="H13" s="134">
        <f t="shared" si="2"/>
        <v>0</v>
      </c>
      <c r="I13" s="167">
        <f t="shared" si="3"/>
        <v>0</v>
      </c>
      <c r="J13" s="168" t="e">
        <f t="shared" si="1"/>
        <v>#DIV/0!</v>
      </c>
      <c r="K13" s="862"/>
      <c r="L13" s="863"/>
    </row>
    <row r="14" spans="1:12" ht="185.25" thickBot="1">
      <c r="A14" s="217" t="s">
        <v>169</v>
      </c>
      <c r="B14" s="132">
        <f>'5'!I15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'5'!H15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307.5">
      <c r="A15" s="217" t="s">
        <v>170</v>
      </c>
      <c r="B15" s="132">
        <f>'5'!I16</f>
        <v>0</v>
      </c>
      <c r="C15" s="133">
        <v>0</v>
      </c>
      <c r="D15" s="139">
        <f t="shared" ref="D15:D26" si="4">C15+B15</f>
        <v>0</v>
      </c>
      <c r="E15" s="135">
        <v>0</v>
      </c>
      <c r="F15" s="136">
        <v>0</v>
      </c>
      <c r="G15" s="137">
        <f>'5'!H16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84.5">
      <c r="A16" s="217" t="s">
        <v>171</v>
      </c>
      <c r="B16" s="132">
        <f>'5'!I17</f>
        <v>0</v>
      </c>
      <c r="C16" s="133">
        <v>0</v>
      </c>
      <c r="D16" s="139">
        <f t="shared" si="4"/>
        <v>0</v>
      </c>
      <c r="E16" s="135">
        <v>0</v>
      </c>
      <c r="F16" s="136">
        <v>0</v>
      </c>
      <c r="G16" s="137">
        <f>'5'!H17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52.25" customHeight="1" thickBot="1">
      <c r="A17" s="287" t="s">
        <v>11</v>
      </c>
      <c r="B17" s="132">
        <f>'5'!I18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'5'!H18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hidden="1" customHeight="1">
      <c r="A18" s="197"/>
      <c r="B18" s="132">
        <f>'5'!I19</f>
        <v>0</v>
      </c>
      <c r="C18" s="133">
        <v>0</v>
      </c>
      <c r="D18" s="139">
        <f t="shared" si="4"/>
        <v>0</v>
      </c>
      <c r="E18" s="135"/>
      <c r="F18" s="136">
        <v>0</v>
      </c>
      <c r="G18" s="137">
        <f>'5'!H19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'5'!I20</f>
        <v>0</v>
      </c>
      <c r="C19" s="133">
        <v>0</v>
      </c>
      <c r="D19" s="139">
        <f t="shared" si="4"/>
        <v>0</v>
      </c>
      <c r="E19" s="135"/>
      <c r="F19" s="136">
        <v>0</v>
      </c>
      <c r="G19" s="137">
        <f>'5'!H20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'5'!I21</f>
        <v>0</v>
      </c>
      <c r="C20" s="133">
        <v>0</v>
      </c>
      <c r="D20" s="139">
        <f t="shared" si="4"/>
        <v>0</v>
      </c>
      <c r="E20" s="135"/>
      <c r="F20" s="136">
        <v>0</v>
      </c>
      <c r="G20" s="137">
        <f>'5'!H21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'5'!I22</f>
        <v>0</v>
      </c>
      <c r="C21" s="133">
        <v>0</v>
      </c>
      <c r="D21" s="139">
        <f t="shared" si="4"/>
        <v>0</v>
      </c>
      <c r="E21" s="135"/>
      <c r="F21" s="136">
        <v>0</v>
      </c>
      <c r="G21" s="137">
        <f>'5'!H22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'5'!I23</f>
        <v>0</v>
      </c>
      <c r="C22" s="133">
        <v>0</v>
      </c>
      <c r="D22" s="139">
        <f t="shared" si="4"/>
        <v>0</v>
      </c>
      <c r="E22" s="175"/>
      <c r="F22" s="136">
        <v>0</v>
      </c>
      <c r="G22" s="137">
        <f>'5'!H23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'5'!I24</f>
        <v>0</v>
      </c>
      <c r="C23" s="133">
        <v>0</v>
      </c>
      <c r="D23" s="139">
        <f t="shared" si="4"/>
        <v>0</v>
      </c>
      <c r="E23" s="175"/>
      <c r="F23" s="136">
        <v>0</v>
      </c>
      <c r="G23" s="137">
        <f>'5'!H24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'5'!I25</f>
        <v>0</v>
      </c>
      <c r="C24" s="133">
        <v>0</v>
      </c>
      <c r="D24" s="139">
        <f t="shared" si="4"/>
        <v>0</v>
      </c>
      <c r="E24" s="175"/>
      <c r="F24" s="136">
        <v>0</v>
      </c>
      <c r="G24" s="137">
        <f>'5'!H25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'5'!I26</f>
        <v>0</v>
      </c>
      <c r="C25" s="133">
        <v>0</v>
      </c>
      <c r="D25" s="148">
        <f t="shared" si="4"/>
        <v>0</v>
      </c>
      <c r="E25" s="178"/>
      <c r="F25" s="136">
        <v>0</v>
      </c>
      <c r="G25" s="137">
        <f>'5'!H26</f>
        <v>0</v>
      </c>
      <c r="H25" s="16">
        <f t="shared" si="2"/>
        <v>0</v>
      </c>
      <c r="I25" s="169">
        <f t="shared" si="3"/>
        <v>0</v>
      </c>
      <c r="J25" s="170" t="e">
        <f t="shared" si="1"/>
        <v>#DIV/0!</v>
      </c>
      <c r="K25" s="862"/>
      <c r="L25" s="863"/>
    </row>
    <row r="26" spans="1:12" ht="152.25" hidden="1" customHeight="1">
      <c r="A26" s="198"/>
      <c r="B26" s="132">
        <f>'5'!I27</f>
        <v>0</v>
      </c>
      <c r="C26" s="133">
        <v>0</v>
      </c>
      <c r="D26" s="148">
        <f t="shared" si="4"/>
        <v>0</v>
      </c>
      <c r="E26" s="180"/>
      <c r="F26" s="136">
        <v>0</v>
      </c>
      <c r="G26" s="137">
        <f>'5'!H27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214"/>
      <c r="L26" s="215"/>
    </row>
    <row r="27" spans="1:12" ht="152.25" customHeight="1" thickBot="1">
      <c r="A27" s="199" t="s">
        <v>114</v>
      </c>
      <c r="B27" s="41"/>
      <c r="C27" s="40">
        <f>SUM(C6:C26)</f>
        <v>130</v>
      </c>
      <c r="D27" s="40">
        <f>SUM(D6:D26)</f>
        <v>1052</v>
      </c>
      <c r="E27" s="40">
        <f>SUM(E6:E26)</f>
        <v>167</v>
      </c>
      <c r="F27" s="40">
        <f>SUM(F6:F26)</f>
        <v>26</v>
      </c>
      <c r="G27" s="883"/>
      <c r="H27" s="884"/>
      <c r="I27" s="40">
        <f>SUM(I6:I26)</f>
        <v>885</v>
      </c>
      <c r="J27" s="111"/>
      <c r="K27" s="885"/>
      <c r="L27" s="886"/>
    </row>
    <row r="28" spans="1:12" ht="152.25" customHeight="1" thickBot="1">
      <c r="A28" s="43"/>
      <c r="B28" s="44"/>
      <c r="C28" s="44"/>
      <c r="D28" s="44"/>
      <c r="E28" s="44"/>
      <c r="F28" s="44"/>
      <c r="G28" s="44"/>
      <c r="H28" s="44"/>
      <c r="I28" s="44"/>
      <c r="J28" s="120"/>
    </row>
    <row r="29" spans="1:12" ht="184.5">
      <c r="A29" s="237"/>
      <c r="B29" s="217" t="s">
        <v>126</v>
      </c>
      <c r="C29" s="217" t="s">
        <v>127</v>
      </c>
      <c r="D29" s="217" t="s">
        <v>128</v>
      </c>
      <c r="E29" s="217" t="s">
        <v>129</v>
      </c>
      <c r="F29" s="217" t="s">
        <v>130</v>
      </c>
      <c r="G29" s="217" t="s">
        <v>131</v>
      </c>
      <c r="H29" s="887" t="s">
        <v>120</v>
      </c>
      <c r="I29" s="888"/>
    </row>
    <row r="30" spans="1:12" ht="152.25" customHeight="1">
      <c r="A30" s="217" t="s">
        <v>132</v>
      </c>
      <c r="B30" s="153">
        <f>'5'!G31</f>
        <v>635</v>
      </c>
      <c r="C30" s="154">
        <v>0</v>
      </c>
      <c r="D30" s="17">
        <f>SUM(B30:C30)</f>
        <v>635</v>
      </c>
      <c r="E30" s="155">
        <f>C27</f>
        <v>130</v>
      </c>
      <c r="F30" s="17">
        <f>E27</f>
        <v>167</v>
      </c>
      <c r="G30" s="156">
        <f>D30-E30</f>
        <v>505</v>
      </c>
      <c r="H30" s="900"/>
      <c r="I30" s="901"/>
    </row>
    <row r="31" spans="1:12" ht="152.25" customHeight="1">
      <c r="A31" s="240" t="s">
        <v>133</v>
      </c>
      <c r="B31" s="52">
        <v>0</v>
      </c>
      <c r="C31" s="154">
        <v>0</v>
      </c>
      <c r="D31" s="17">
        <f>SUM(B31,C31)</f>
        <v>0</v>
      </c>
      <c r="E31" s="157">
        <v>0</v>
      </c>
      <c r="F31" s="29">
        <v>0</v>
      </c>
      <c r="G31" s="156">
        <f>D31-F31</f>
        <v>0</v>
      </c>
      <c r="H31" s="902"/>
      <c r="I31" s="903"/>
      <c r="J31" s="121"/>
    </row>
    <row r="32" spans="1:12" s="1" customFormat="1" ht="128.25" customHeight="1">
      <c r="A32" s="55"/>
      <c r="B32" s="44"/>
      <c r="C32" s="56"/>
      <c r="D32" s="56"/>
      <c r="E32" s="56"/>
      <c r="F32" s="44"/>
      <c r="G32" s="57"/>
      <c r="H32" s="58"/>
      <c r="I32" s="58"/>
      <c r="J32" s="122"/>
    </row>
    <row r="33" spans="1:11" ht="167.25" customHeight="1">
      <c r="A33" s="874" t="s">
        <v>134</v>
      </c>
      <c r="B33" s="875"/>
      <c r="C33" s="875"/>
      <c r="D33" s="875"/>
      <c r="E33" s="875"/>
      <c r="F33" s="875"/>
      <c r="G33" s="876"/>
      <c r="H33" s="59"/>
      <c r="I33" s="59"/>
      <c r="J33" s="84"/>
    </row>
    <row r="34" spans="1:11" ht="128.25" customHeight="1">
      <c r="A34" s="200" t="s">
        <v>135</v>
      </c>
      <c r="B34" s="201" t="s">
        <v>136</v>
      </c>
      <c r="C34" s="202" t="s">
        <v>127</v>
      </c>
      <c r="D34" s="200" t="s">
        <v>137</v>
      </c>
      <c r="E34" s="203" t="s">
        <v>138</v>
      </c>
      <c r="F34" s="204" t="s">
        <v>131</v>
      </c>
      <c r="G34" s="204" t="s">
        <v>42</v>
      </c>
      <c r="H34" s="59"/>
      <c r="I34" s="59"/>
      <c r="J34" s="123"/>
    </row>
    <row r="35" spans="1:11" ht="128.25" customHeight="1">
      <c r="A35" s="205" t="s">
        <v>139</v>
      </c>
      <c r="B35" s="158">
        <f>'5'!F36</f>
        <v>92</v>
      </c>
      <c r="C35" s="159"/>
      <c r="D35" s="160">
        <f>SUM(B35:C35)</f>
        <v>92</v>
      </c>
      <c r="E35" s="161"/>
      <c r="F35" s="160">
        <f>D35-E35</f>
        <v>92</v>
      </c>
      <c r="G35" s="69"/>
      <c r="H35" s="59"/>
      <c r="I35" s="59"/>
    </row>
    <row r="36" spans="1:11" ht="128.25" customHeight="1">
      <c r="A36" s="206" t="s">
        <v>140</v>
      </c>
      <c r="B36" s="158">
        <f>'5'!F37</f>
        <v>420</v>
      </c>
      <c r="C36" s="159"/>
      <c r="D36" s="162">
        <f t="shared" ref="D36:D46" si="5">SUM(B36:C36)</f>
        <v>420</v>
      </c>
      <c r="E36" s="161"/>
      <c r="F36" s="162">
        <f t="shared" ref="F36:F46" si="6">D36-E36</f>
        <v>420</v>
      </c>
      <c r="G36" s="72"/>
      <c r="H36" s="59"/>
      <c r="I36" s="59"/>
    </row>
    <row r="37" spans="1:11" ht="128.25" customHeight="1">
      <c r="A37" s="206" t="s">
        <v>141</v>
      </c>
      <c r="B37" s="158">
        <f>'5'!F38</f>
        <v>300</v>
      </c>
      <c r="C37" s="159"/>
      <c r="D37" s="162">
        <f t="shared" si="5"/>
        <v>300</v>
      </c>
      <c r="E37" s="161">
        <v>30</v>
      </c>
      <c r="F37" s="162">
        <f t="shared" si="6"/>
        <v>270</v>
      </c>
      <c r="G37" s="664" t="s">
        <v>212</v>
      </c>
      <c r="H37" s="74"/>
      <c r="I37" s="74"/>
    </row>
    <row r="38" spans="1:11" ht="128.25" customHeight="1">
      <c r="A38" s="206" t="s">
        <v>142</v>
      </c>
      <c r="B38" s="158">
        <f>'5'!F39</f>
        <v>98</v>
      </c>
      <c r="C38" s="159"/>
      <c r="D38" s="162">
        <f t="shared" si="5"/>
        <v>98</v>
      </c>
      <c r="E38" s="161"/>
      <c r="F38" s="162">
        <f t="shared" si="6"/>
        <v>98</v>
      </c>
      <c r="G38" s="72"/>
      <c r="H38" s="59"/>
      <c r="I38" s="59"/>
    </row>
    <row r="39" spans="1:11" ht="128.25" customHeight="1">
      <c r="A39" s="206" t="s">
        <v>143</v>
      </c>
      <c r="B39" s="158">
        <f>'5'!F40</f>
        <v>0</v>
      </c>
      <c r="C39" s="159"/>
      <c r="D39" s="162">
        <f t="shared" si="5"/>
        <v>0</v>
      </c>
      <c r="E39" s="161"/>
      <c r="F39" s="162">
        <f t="shared" si="6"/>
        <v>0</v>
      </c>
      <c r="G39" s="72"/>
      <c r="H39" s="59"/>
      <c r="I39" s="59"/>
    </row>
    <row r="40" spans="1:11" ht="128.25" customHeight="1">
      <c r="A40" s="206" t="s">
        <v>144</v>
      </c>
      <c r="B40" s="158">
        <f>'5'!F41</f>
        <v>0</v>
      </c>
      <c r="C40" s="159"/>
      <c r="D40" s="162">
        <f t="shared" si="5"/>
        <v>0</v>
      </c>
      <c r="E40" s="161"/>
      <c r="F40" s="162">
        <f t="shared" si="6"/>
        <v>0</v>
      </c>
      <c r="G40" s="72"/>
      <c r="H40" s="59"/>
      <c r="I40" s="59"/>
    </row>
    <row r="41" spans="1:11" ht="123">
      <c r="A41" s="206" t="s">
        <v>145</v>
      </c>
      <c r="B41" s="158">
        <f>'5'!F42</f>
        <v>170</v>
      </c>
      <c r="C41" s="159"/>
      <c r="D41" s="162">
        <f t="shared" si="5"/>
        <v>170</v>
      </c>
      <c r="E41" s="161"/>
      <c r="F41" s="162">
        <f t="shared" si="6"/>
        <v>170</v>
      </c>
      <c r="G41" s="294"/>
      <c r="H41" s="59"/>
      <c r="I41" s="59"/>
    </row>
    <row r="42" spans="1:11" ht="128.25" customHeight="1">
      <c r="A42" s="206" t="s">
        <v>86</v>
      </c>
      <c r="B42" s="158">
        <f>'5'!F43</f>
        <v>0</v>
      </c>
      <c r="C42" s="159"/>
      <c r="D42" s="162">
        <f t="shared" si="5"/>
        <v>0</v>
      </c>
      <c r="E42" s="161"/>
      <c r="F42" s="162">
        <f t="shared" si="6"/>
        <v>0</v>
      </c>
      <c r="G42" s="75"/>
      <c r="H42" s="76"/>
      <c r="I42" s="59"/>
      <c r="J42" s="124"/>
    </row>
    <row r="43" spans="1:11" ht="128.25" customHeight="1">
      <c r="A43" s="206" t="s">
        <v>146</v>
      </c>
      <c r="B43" s="158">
        <f>'5'!F44</f>
        <v>20</v>
      </c>
      <c r="C43" s="159"/>
      <c r="D43" s="162">
        <f t="shared" si="5"/>
        <v>20</v>
      </c>
      <c r="E43" s="161">
        <v>5</v>
      </c>
      <c r="F43" s="162">
        <f t="shared" si="6"/>
        <v>15</v>
      </c>
      <c r="G43" s="207" t="s">
        <v>214</v>
      </c>
      <c r="H43" s="74"/>
      <c r="I43" s="74"/>
    </row>
    <row r="44" spans="1:11" ht="128.25" customHeight="1">
      <c r="A44" s="206" t="s">
        <v>147</v>
      </c>
      <c r="B44" s="158">
        <f>'5'!F45</f>
        <v>0</v>
      </c>
      <c r="C44" s="159"/>
      <c r="D44" s="162">
        <f t="shared" si="5"/>
        <v>0</v>
      </c>
      <c r="E44" s="161"/>
      <c r="F44" s="162">
        <f t="shared" si="6"/>
        <v>0</v>
      </c>
      <c r="G44" s="77"/>
      <c r="H44" s="57"/>
      <c r="I44" s="76"/>
    </row>
    <row r="45" spans="1:11" ht="128.25" customHeight="1">
      <c r="A45" s="210" t="s">
        <v>148</v>
      </c>
      <c r="B45" s="158">
        <f>'5'!F46</f>
        <v>0</v>
      </c>
      <c r="C45" s="159"/>
      <c r="D45" s="162">
        <f t="shared" si="5"/>
        <v>0</v>
      </c>
      <c r="E45" s="161"/>
      <c r="F45" s="162">
        <f t="shared" si="6"/>
        <v>0</v>
      </c>
      <c r="G45" s="211"/>
      <c r="H45" s="57"/>
      <c r="I45" s="76"/>
    </row>
    <row r="46" spans="1:11" ht="128.25" customHeight="1">
      <c r="A46" s="212" t="s">
        <v>92</v>
      </c>
      <c r="B46" s="158">
        <f>'5'!F47</f>
        <v>0</v>
      </c>
      <c r="C46" s="159"/>
      <c r="D46" s="163">
        <f t="shared" si="5"/>
        <v>0</v>
      </c>
      <c r="E46" s="161"/>
      <c r="F46" s="163">
        <f t="shared" si="6"/>
        <v>0</v>
      </c>
      <c r="G46" s="82"/>
      <c r="H46" s="57"/>
      <c r="I46" s="59"/>
    </row>
    <row r="47" spans="1:11" ht="128.25" customHeight="1">
      <c r="A47" s="83"/>
      <c r="B47" s="84"/>
      <c r="C47" s="84"/>
      <c r="D47" s="84"/>
      <c r="E47" s="84"/>
      <c r="F47" s="85"/>
      <c r="G47" s="86"/>
      <c r="H47" s="57"/>
      <c r="I47" s="110"/>
      <c r="J47" s="57"/>
    </row>
    <row r="48" spans="1:11" ht="128.25" customHeight="1">
      <c r="A48" s="87" t="s">
        <v>149</v>
      </c>
      <c r="B48" s="88" t="s">
        <v>150</v>
      </c>
      <c r="C48" s="89" t="s">
        <v>151</v>
      </c>
      <c r="D48" s="89" t="s">
        <v>152</v>
      </c>
      <c r="E48" s="90" t="s">
        <v>153</v>
      </c>
      <c r="F48" s="89" t="s">
        <v>154</v>
      </c>
      <c r="G48" s="91" t="s">
        <v>155</v>
      </c>
      <c r="H48" s="89" t="s">
        <v>156</v>
      </c>
      <c r="I48" s="88" t="s">
        <v>42</v>
      </c>
      <c r="J48" s="56"/>
      <c r="K48" s="1"/>
    </row>
    <row r="49" spans="1:11" s="2" customFormat="1" ht="128.25" customHeight="1">
      <c r="A49" s="92" t="s">
        <v>157</v>
      </c>
      <c r="B49" s="93">
        <v>0</v>
      </c>
      <c r="C49" s="94">
        <v>0</v>
      </c>
      <c r="D49" s="94">
        <v>0</v>
      </c>
      <c r="E49" s="94">
        <v>0</v>
      </c>
      <c r="F49" s="95">
        <v>0</v>
      </c>
      <c r="G49" s="96">
        <v>0</v>
      </c>
      <c r="H49" s="97">
        <v>0</v>
      </c>
      <c r="I49" s="125"/>
      <c r="J49" s="126"/>
      <c r="K49" s="127"/>
    </row>
    <row r="50" spans="1:11" s="2" customFormat="1" ht="128.25" customHeight="1">
      <c r="A50" s="98" t="s">
        <v>158</v>
      </c>
      <c r="B50" s="99">
        <v>0</v>
      </c>
      <c r="C50" s="100">
        <v>0</v>
      </c>
      <c r="D50" s="100">
        <v>0</v>
      </c>
      <c r="E50" s="100">
        <v>0</v>
      </c>
      <c r="F50" s="101">
        <v>0</v>
      </c>
      <c r="G50" s="102">
        <v>0</v>
      </c>
      <c r="H50" s="103">
        <v>0</v>
      </c>
      <c r="I50" s="128"/>
      <c r="J50" s="126"/>
      <c r="K50" s="127"/>
    </row>
    <row r="51" spans="1:11" s="2" customFormat="1" ht="128.25" customHeight="1">
      <c r="A51" s="104" t="s">
        <v>159</v>
      </c>
      <c r="B51" s="105">
        <v>0</v>
      </c>
      <c r="C51" s="106">
        <v>0</v>
      </c>
      <c r="D51" s="106">
        <v>0</v>
      </c>
      <c r="E51" s="106">
        <v>0</v>
      </c>
      <c r="F51" s="107">
        <v>0</v>
      </c>
      <c r="G51" s="108">
        <v>0</v>
      </c>
      <c r="H51" s="109">
        <v>0</v>
      </c>
      <c r="I51" s="129"/>
      <c r="J51" s="130"/>
      <c r="K51" s="127"/>
    </row>
    <row r="52" spans="1:11" ht="128.25" customHeight="1">
      <c r="C52" s="110"/>
      <c r="D52" s="110"/>
      <c r="E52" s="110"/>
      <c r="F52" s="84"/>
      <c r="G52" s="84"/>
      <c r="H52" s="84"/>
      <c r="I52" s="110"/>
      <c r="J52" s="131"/>
      <c r="K52" s="1"/>
    </row>
    <row r="53" spans="1:11" ht="128.25" customHeight="1"/>
    <row r="54" spans="1:11" ht="128.25" customHeight="1"/>
    <row r="55" spans="1:11" ht="128.25" customHeight="1"/>
    <row r="56" spans="1:11" ht="128.25" customHeight="1"/>
    <row r="57" spans="1:11" ht="128.25" customHeight="1"/>
  </sheetData>
  <sheetProtection sheet="1" objects="1" scenarios="1" formatCells="0" formatColumns="0" formatRows="0" insertColumns="0" insertRows="0"/>
  <mergeCells count="31">
    <mergeCell ref="A33:G33"/>
    <mergeCell ref="I2:L4"/>
    <mergeCell ref="G27:H27"/>
    <mergeCell ref="K27:L27"/>
    <mergeCell ref="H29:I29"/>
    <mergeCell ref="H30:I30"/>
    <mergeCell ref="H31:I31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7:L7"/>
    <mergeCell ref="K8:L8"/>
    <mergeCell ref="K9:L9"/>
    <mergeCell ref="K10:L10"/>
    <mergeCell ref="K20:L20"/>
    <mergeCell ref="K11:L11"/>
    <mergeCell ref="K12:L12"/>
    <mergeCell ref="K13:L13"/>
    <mergeCell ref="K14:L14"/>
    <mergeCell ref="K15:L15"/>
    <mergeCell ref="A1:L1"/>
    <mergeCell ref="C2:F2"/>
    <mergeCell ref="A4:B4"/>
    <mergeCell ref="K5:L5"/>
    <mergeCell ref="K6:L6"/>
  </mergeCells>
  <pageMargins left="0.51181102362204722" right="0.51181102362204722" top="0.55118110236220474" bottom="0.55118110236220474" header="0.31496062992125984" footer="0.31496062992125984"/>
  <pageSetup scale="1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3"/>
  <sheetViews>
    <sheetView topLeftCell="A18" zoomScale="25" zoomScaleNormal="25" workbookViewId="0">
      <selection activeCell="C6" sqref="C6"/>
    </sheetView>
  </sheetViews>
  <sheetFormatPr defaultColWidth="9" defaultRowHeight="33.75"/>
  <cols>
    <col min="1" max="1" width="79.42578125" style="3" customWidth="1"/>
    <col min="2" max="2" width="60" style="3" customWidth="1"/>
    <col min="3" max="6" width="48" style="3" customWidth="1"/>
    <col min="7" max="7" width="80" style="3" customWidth="1"/>
    <col min="8" max="8" width="57.140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177</v>
      </c>
      <c r="C2" s="893"/>
      <c r="D2" s="893"/>
      <c r="E2" s="893"/>
      <c r="F2" s="893"/>
      <c r="G2" s="293" t="s">
        <v>107</v>
      </c>
      <c r="H2" s="697">
        <v>46241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19.5</v>
      </c>
      <c r="D4" s="14">
        <v>1</v>
      </c>
      <c r="E4" s="14">
        <v>3.5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>
      <c r="A6" s="217" t="s">
        <v>161</v>
      </c>
      <c r="B6" s="132">
        <f>'6'!I6</f>
        <v>321</v>
      </c>
      <c r="C6" s="133">
        <v>50</v>
      </c>
      <c r="D6" s="134">
        <f t="shared" ref="D6:D15" si="0">B6+C6</f>
        <v>371</v>
      </c>
      <c r="E6" s="135">
        <v>130</v>
      </c>
      <c r="F6" s="136">
        <v>20.5</v>
      </c>
      <c r="G6" s="137">
        <f>'6'!H6</f>
        <v>25191.5</v>
      </c>
      <c r="H6" s="138">
        <f>SUM(G6,F6)</f>
        <v>25212</v>
      </c>
      <c r="I6" s="165">
        <f>D6-E6</f>
        <v>241</v>
      </c>
      <c r="J6" s="166">
        <f t="shared" ref="J6:J27" si="1">E6/F6</f>
        <v>6.3414634146341466</v>
      </c>
      <c r="K6" s="910"/>
      <c r="L6" s="911"/>
    </row>
    <row r="7" spans="1:12" ht="152.25" customHeight="1">
      <c r="A7" s="217" t="s">
        <v>162</v>
      </c>
      <c r="B7" s="132">
        <f>'6'!I7</f>
        <v>301</v>
      </c>
      <c r="C7" s="133">
        <v>0</v>
      </c>
      <c r="D7" s="139">
        <f t="shared" si="0"/>
        <v>301</v>
      </c>
      <c r="E7" s="135">
        <v>60</v>
      </c>
      <c r="F7" s="136">
        <v>3.5</v>
      </c>
      <c r="G7" s="137">
        <f>'6'!H7</f>
        <v>1473</v>
      </c>
      <c r="H7" s="134">
        <f t="shared" ref="H7:H27" si="2">SUM(G7,F7)</f>
        <v>1476.5</v>
      </c>
      <c r="I7" s="167">
        <f t="shared" ref="I7:I27" si="3">D7-E7</f>
        <v>241</v>
      </c>
      <c r="J7" s="168">
        <f t="shared" si="1"/>
        <v>17.142857142857142</v>
      </c>
      <c r="K7" s="898"/>
      <c r="L7" s="899"/>
    </row>
    <row r="8" spans="1:12" ht="197.25" customHeight="1">
      <c r="A8" s="217" t="s">
        <v>163</v>
      </c>
      <c r="B8" s="132">
        <f>'6'!I8</f>
        <v>114</v>
      </c>
      <c r="C8" s="133">
        <v>130</v>
      </c>
      <c r="D8" s="139">
        <f t="shared" si="0"/>
        <v>244</v>
      </c>
      <c r="E8" s="135">
        <v>148</v>
      </c>
      <c r="F8" s="136">
        <v>24</v>
      </c>
      <c r="G8" s="137">
        <f>'6'!H8</f>
        <v>1301</v>
      </c>
      <c r="H8" s="134">
        <f t="shared" si="2"/>
        <v>1325</v>
      </c>
      <c r="I8" s="167">
        <f t="shared" si="3"/>
        <v>96</v>
      </c>
      <c r="J8" s="168">
        <f t="shared" si="1"/>
        <v>6.166666666666667</v>
      </c>
      <c r="K8" s="862"/>
      <c r="L8" s="863"/>
    </row>
    <row r="9" spans="1:12" ht="236.25" customHeight="1">
      <c r="A9" s="217" t="s">
        <v>164</v>
      </c>
      <c r="B9" s="132">
        <f>'6'!I9</f>
        <v>100</v>
      </c>
      <c r="C9" s="133">
        <v>40</v>
      </c>
      <c r="D9" s="139">
        <f t="shared" si="0"/>
        <v>140</v>
      </c>
      <c r="E9" s="135">
        <v>0</v>
      </c>
      <c r="F9" s="136">
        <v>0</v>
      </c>
      <c r="G9" s="137">
        <f>'6'!H9</f>
        <v>3234</v>
      </c>
      <c r="H9" s="134">
        <f t="shared" si="2"/>
        <v>3234</v>
      </c>
      <c r="I9" s="167">
        <f t="shared" si="3"/>
        <v>140</v>
      </c>
      <c r="J9" s="168" t="e">
        <f t="shared" si="1"/>
        <v>#DIV/0!</v>
      </c>
      <c r="K9" s="862"/>
      <c r="L9" s="863"/>
    </row>
    <row r="10" spans="1:12" ht="152.25" customHeight="1">
      <c r="A10" s="217" t="s">
        <v>165</v>
      </c>
      <c r="B10" s="132">
        <f>'6'!I10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'6'!H10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91.25" customHeight="1">
      <c r="A11" s="217" t="s">
        <v>166</v>
      </c>
      <c r="B11" s="132"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v>0</v>
      </c>
      <c r="H11" s="134"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209.25" customHeight="1">
      <c r="A12" s="217" t="s">
        <v>5</v>
      </c>
      <c r="B12" s="132">
        <f>'6'!I11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'6'!H11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167</v>
      </c>
      <c r="B13" s="132">
        <f>'6'!I12</f>
        <v>23</v>
      </c>
      <c r="C13" s="133">
        <v>0</v>
      </c>
      <c r="D13" s="139">
        <f t="shared" si="0"/>
        <v>23</v>
      </c>
      <c r="E13" s="135">
        <v>0</v>
      </c>
      <c r="F13" s="136">
        <v>0</v>
      </c>
      <c r="G13" s="137">
        <f>'6'!H12</f>
        <v>9</v>
      </c>
      <c r="H13" s="134">
        <f t="shared" si="2"/>
        <v>9</v>
      </c>
      <c r="I13" s="167">
        <f t="shared" si="3"/>
        <v>23</v>
      </c>
      <c r="J13" s="168" t="e">
        <f t="shared" si="1"/>
        <v>#DIV/0!</v>
      </c>
      <c r="K13" s="862"/>
      <c r="L13" s="863"/>
    </row>
    <row r="14" spans="1:12" ht="152.25" customHeight="1">
      <c r="A14" s="217" t="s">
        <v>168</v>
      </c>
      <c r="B14" s="132">
        <f>'6'!I13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'6'!H13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84.5">
      <c r="A15" s="217" t="s">
        <v>169</v>
      </c>
      <c r="B15" s="132">
        <f>'6'!I14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'6'!H14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84.5">
      <c r="A16" s="217" t="s">
        <v>170</v>
      </c>
      <c r="B16" s="132">
        <f>'6'!I15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'6'!H15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84.5">
      <c r="A17" s="217" t="s">
        <v>171</v>
      </c>
      <c r="B17" s="132">
        <f>'6'!I16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'6'!H16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>
      <c r="A18" s="287" t="s">
        <v>11</v>
      </c>
      <c r="B18" s="132">
        <f>'6'!I17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'6'!H17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'6'!I18</f>
        <v>0</v>
      </c>
      <c r="C19" s="133">
        <v>0</v>
      </c>
      <c r="D19" s="139">
        <f t="shared" si="4"/>
        <v>0</v>
      </c>
      <c r="E19" s="135"/>
      <c r="F19" s="136"/>
      <c r="G19" s="137">
        <f>'6'!H18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'6'!I19</f>
        <v>0</v>
      </c>
      <c r="C20" s="133">
        <v>0</v>
      </c>
      <c r="D20" s="139">
        <f t="shared" si="4"/>
        <v>0</v>
      </c>
      <c r="E20" s="135"/>
      <c r="F20" s="136"/>
      <c r="G20" s="137">
        <f>'6'!H19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'6'!I20</f>
        <v>0</v>
      </c>
      <c r="C21" s="133">
        <v>0</v>
      </c>
      <c r="D21" s="139">
        <f t="shared" si="4"/>
        <v>0</v>
      </c>
      <c r="E21" s="135"/>
      <c r="F21" s="136"/>
      <c r="G21" s="137">
        <f>'6'!H20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'6'!I21</f>
        <v>0</v>
      </c>
      <c r="C22" s="133">
        <v>0</v>
      </c>
      <c r="D22" s="139">
        <f t="shared" si="4"/>
        <v>0</v>
      </c>
      <c r="E22" s="135"/>
      <c r="F22" s="136"/>
      <c r="G22" s="137">
        <f>'6'!H21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'6'!I22</f>
        <v>0</v>
      </c>
      <c r="C23" s="133">
        <v>0</v>
      </c>
      <c r="D23" s="139">
        <f t="shared" si="4"/>
        <v>0</v>
      </c>
      <c r="E23" s="175"/>
      <c r="F23" s="176"/>
      <c r="G23" s="137">
        <f>'6'!H22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'6'!I23</f>
        <v>0</v>
      </c>
      <c r="C24" s="133">
        <v>0</v>
      </c>
      <c r="D24" s="139">
        <f t="shared" si="4"/>
        <v>0</v>
      </c>
      <c r="E24" s="175"/>
      <c r="F24" s="176"/>
      <c r="G24" s="137">
        <f>'6'!H23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'6'!I24</f>
        <v>0</v>
      </c>
      <c r="C25" s="133">
        <v>0</v>
      </c>
      <c r="D25" s="139">
        <f t="shared" si="4"/>
        <v>0</v>
      </c>
      <c r="E25" s="175"/>
      <c r="F25" s="176"/>
      <c r="G25" s="137">
        <f>'6'!H24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862"/>
      <c r="L25" s="863"/>
    </row>
    <row r="26" spans="1:12" ht="152.25" hidden="1" customHeight="1">
      <c r="A26" s="197"/>
      <c r="B26" s="132">
        <f>'6'!I25</f>
        <v>0</v>
      </c>
      <c r="C26" s="133">
        <v>0</v>
      </c>
      <c r="D26" s="148">
        <f t="shared" si="4"/>
        <v>0</v>
      </c>
      <c r="E26" s="178"/>
      <c r="F26" s="179"/>
      <c r="G26" s="137">
        <f>'6'!H25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862"/>
      <c r="L26" s="863"/>
    </row>
    <row r="27" spans="1:12" ht="152.25" hidden="1" customHeight="1">
      <c r="A27" s="198"/>
      <c r="B27" s="132">
        <f>'6'!I26</f>
        <v>0</v>
      </c>
      <c r="C27" s="133">
        <v>0</v>
      </c>
      <c r="D27" s="148">
        <f t="shared" si="4"/>
        <v>0</v>
      </c>
      <c r="E27" s="180"/>
      <c r="F27" s="179"/>
      <c r="G27" s="137">
        <f>'6'!H26</f>
        <v>0</v>
      </c>
      <c r="H27" s="16">
        <f t="shared" si="2"/>
        <v>0</v>
      </c>
      <c r="I27" s="169">
        <f t="shared" si="3"/>
        <v>0</v>
      </c>
      <c r="J27" s="170" t="e">
        <f t="shared" si="1"/>
        <v>#DIV/0!</v>
      </c>
      <c r="K27" s="214"/>
      <c r="L27" s="215"/>
    </row>
    <row r="28" spans="1:12" ht="152.25" customHeight="1">
      <c r="A28" s="199" t="s">
        <v>114</v>
      </c>
      <c r="B28" s="41"/>
      <c r="C28" s="40">
        <f>SUM(C6:C27)</f>
        <v>220</v>
      </c>
      <c r="D28" s="40">
        <f t="shared" ref="D28:F28" si="5">SUM(D6:D27)</f>
        <v>1105</v>
      </c>
      <c r="E28" s="40">
        <f t="shared" si="5"/>
        <v>338</v>
      </c>
      <c r="F28" s="40">
        <f t="shared" si="5"/>
        <v>48</v>
      </c>
      <c r="G28" s="883"/>
      <c r="H28" s="884"/>
      <c r="I28" s="40">
        <f t="shared" ref="I28" si="6">SUM(I6:I27)</f>
        <v>767</v>
      </c>
      <c r="J28" s="244"/>
      <c r="K28" s="885"/>
      <c r="L28" s="886"/>
    </row>
    <row r="29" spans="1:12" ht="152.25" customHeigh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75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'6'!G30</f>
        <v>505</v>
      </c>
      <c r="C31" s="154">
        <v>600</v>
      </c>
      <c r="D31" s="17">
        <f>SUM(B31:C31)</f>
        <v>1105</v>
      </c>
      <c r="E31" s="155">
        <f>C28</f>
        <v>220</v>
      </c>
      <c r="F31" s="17">
        <f>E28</f>
        <v>338</v>
      </c>
      <c r="G31" s="156">
        <f>D31-E31</f>
        <v>885</v>
      </c>
      <c r="H31" s="889"/>
      <c r="I31" s="890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891"/>
      <c r="I32" s="892"/>
      <c r="J32" s="121"/>
    </row>
    <row r="33" spans="1:10" s="1" customFormat="1" ht="61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01.2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28.2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23">
      <c r="A36" s="205" t="s">
        <v>139</v>
      </c>
      <c r="B36" s="158">
        <f>'6'!F35</f>
        <v>92</v>
      </c>
      <c r="C36" s="159"/>
      <c r="D36" s="160">
        <f>SUM(B36:C36)</f>
        <v>92</v>
      </c>
      <c r="E36" s="161"/>
      <c r="F36" s="160">
        <f>D36-E36</f>
        <v>92</v>
      </c>
      <c r="G36" s="69"/>
      <c r="H36" s="59"/>
      <c r="I36" s="59"/>
    </row>
    <row r="37" spans="1:10" ht="101.25" customHeight="1">
      <c r="A37" s="206" t="s">
        <v>140</v>
      </c>
      <c r="B37" s="158">
        <f>'6'!F36</f>
        <v>420</v>
      </c>
      <c r="C37" s="159"/>
      <c r="D37" s="162">
        <f t="shared" ref="D37:D47" si="7">SUM(B37:C37)</f>
        <v>420</v>
      </c>
      <c r="E37" s="161"/>
      <c r="F37" s="162">
        <f t="shared" ref="F37:F47" si="8">D37-E37</f>
        <v>420</v>
      </c>
      <c r="G37" s="672"/>
      <c r="H37" s="59"/>
      <c r="I37" s="59"/>
    </row>
    <row r="38" spans="1:10" ht="101.25" customHeight="1">
      <c r="A38" s="206" t="s">
        <v>141</v>
      </c>
      <c r="B38" s="158">
        <f>'6'!F37</f>
        <v>270</v>
      </c>
      <c r="C38" s="159"/>
      <c r="D38" s="162">
        <f t="shared" si="7"/>
        <v>270</v>
      </c>
      <c r="E38" s="161"/>
      <c r="F38" s="162">
        <f t="shared" si="8"/>
        <v>270</v>
      </c>
      <c r="G38" s="73"/>
      <c r="H38" s="74"/>
      <c r="I38" s="74"/>
    </row>
    <row r="39" spans="1:10" ht="101.25" customHeight="1">
      <c r="A39" s="206" t="s">
        <v>142</v>
      </c>
      <c r="B39" s="158">
        <f>'6'!F38</f>
        <v>98</v>
      </c>
      <c r="C39" s="159"/>
      <c r="D39" s="162">
        <f t="shared" si="7"/>
        <v>98</v>
      </c>
      <c r="E39" s="161">
        <v>50</v>
      </c>
      <c r="F39" s="162">
        <f t="shared" si="8"/>
        <v>48</v>
      </c>
      <c r="G39" s="190" t="s">
        <v>209</v>
      </c>
      <c r="H39" s="59"/>
      <c r="I39" s="59"/>
    </row>
    <row r="40" spans="1:10" ht="101.25" customHeight="1">
      <c r="A40" s="206" t="s">
        <v>143</v>
      </c>
      <c r="B40" s="158">
        <f>'6'!F39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01.25" customHeight="1">
      <c r="A41" s="206" t="s">
        <v>144</v>
      </c>
      <c r="B41" s="158">
        <f>'6'!F40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01.25" customHeight="1">
      <c r="A42" s="206" t="s">
        <v>145</v>
      </c>
      <c r="B42" s="158">
        <f>'6'!F41</f>
        <v>170</v>
      </c>
      <c r="C42" s="159"/>
      <c r="D42" s="162">
        <f t="shared" si="7"/>
        <v>170</v>
      </c>
      <c r="E42" s="161">
        <v>10</v>
      </c>
      <c r="F42" s="162">
        <f t="shared" si="8"/>
        <v>160</v>
      </c>
      <c r="G42" s="190" t="s">
        <v>207</v>
      </c>
      <c r="H42" s="59"/>
      <c r="I42" s="59"/>
    </row>
    <row r="43" spans="1:10" ht="146.25" customHeight="1">
      <c r="A43" s="206" t="s">
        <v>86</v>
      </c>
      <c r="B43" s="158">
        <f>'6'!F42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01.25" customHeight="1">
      <c r="A44" s="206" t="s">
        <v>146</v>
      </c>
      <c r="B44" s="158">
        <f>'6'!F43</f>
        <v>15</v>
      </c>
      <c r="C44" s="159"/>
      <c r="D44" s="162">
        <f t="shared" si="7"/>
        <v>15</v>
      </c>
      <c r="E44" s="161"/>
      <c r="F44" s="162">
        <f t="shared" si="8"/>
        <v>15</v>
      </c>
      <c r="G44" s="73"/>
      <c r="H44" s="74"/>
      <c r="I44" s="74"/>
    </row>
    <row r="45" spans="1:10" ht="101.25" customHeight="1">
      <c r="A45" s="206" t="s">
        <v>147</v>
      </c>
      <c r="B45" s="158">
        <f>'6'!F44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01.25" customHeight="1">
      <c r="A46" s="210" t="s">
        <v>148</v>
      </c>
      <c r="B46" s="158">
        <f>'6'!F45</f>
        <v>0</v>
      </c>
      <c r="C46" s="159"/>
      <c r="D46" s="162">
        <f t="shared" si="7"/>
        <v>0</v>
      </c>
      <c r="E46" s="161"/>
      <c r="F46" s="162">
        <f t="shared" si="8"/>
        <v>0</v>
      </c>
      <c r="G46" s="79"/>
      <c r="H46" s="57"/>
      <c r="I46" s="76"/>
    </row>
    <row r="47" spans="1:10" ht="76.5" customHeight="1">
      <c r="A47" s="212" t="s">
        <v>92</v>
      </c>
      <c r="B47" s="158">
        <f>'6'!F46</f>
        <v>0</v>
      </c>
      <c r="C47" s="159"/>
      <c r="D47" s="163">
        <f t="shared" si="7"/>
        <v>0</v>
      </c>
      <c r="E47" s="161"/>
      <c r="F47" s="163">
        <f t="shared" si="8"/>
        <v>0</v>
      </c>
      <c r="G47" s="278"/>
      <c r="H47" s="57"/>
      <c r="I47" s="59"/>
    </row>
    <row r="48" spans="1:10" ht="96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96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96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96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70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51181102362204722" right="0.51181102362204722" top="0.55118110236220474" bottom="0.55118110236220474" header="0.31496062992125984" footer="0.31496062992125984"/>
  <pageSetup scale="1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3"/>
  <sheetViews>
    <sheetView topLeftCell="A13" zoomScale="25" zoomScaleNormal="25" workbookViewId="0">
      <selection activeCell="F6" sqref="F6"/>
    </sheetView>
  </sheetViews>
  <sheetFormatPr defaultColWidth="9" defaultRowHeight="33.75"/>
  <cols>
    <col min="1" max="1" width="74.85546875" style="3" customWidth="1"/>
    <col min="2" max="2" width="60" style="3" customWidth="1"/>
    <col min="3" max="5" width="48" style="3" customWidth="1"/>
    <col min="6" max="6" width="54.85546875" style="3" customWidth="1"/>
    <col min="7" max="7" width="86.28515625" style="3" customWidth="1"/>
    <col min="8" max="8" width="57.140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23">
      <c r="A2" s="250" t="s">
        <v>160</v>
      </c>
      <c r="B2" s="251" t="s">
        <v>177</v>
      </c>
      <c r="C2" s="893"/>
      <c r="D2" s="893"/>
      <c r="E2" s="893"/>
      <c r="F2" s="893"/>
      <c r="G2" s="252" t="s">
        <v>107</v>
      </c>
      <c r="H2" s="698">
        <v>46242</v>
      </c>
      <c r="I2" s="877"/>
      <c r="J2" s="877"/>
      <c r="K2" s="877"/>
      <c r="L2" s="878"/>
    </row>
    <row r="3" spans="1:12" ht="61.5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92.25">
      <c r="A4" s="894"/>
      <c r="B4" s="895"/>
      <c r="C4" s="14">
        <v>14.5</v>
      </c>
      <c r="D4" s="14">
        <v>1</v>
      </c>
      <c r="E4" s="14">
        <v>8.5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 thickBo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'7'!I6</f>
        <v>241</v>
      </c>
      <c r="C6" s="133">
        <v>200</v>
      </c>
      <c r="D6" s="134">
        <f t="shared" ref="D6:D15" si="0">B6+C6</f>
        <v>441</v>
      </c>
      <c r="E6" s="135">
        <v>190</v>
      </c>
      <c r="F6" s="136">
        <v>22</v>
      </c>
      <c r="G6" s="137">
        <f>'7'!H6</f>
        <v>25212</v>
      </c>
      <c r="H6" s="138">
        <f>SUM(G6,F6)</f>
        <v>25234</v>
      </c>
      <c r="I6" s="165">
        <f>D6-E6</f>
        <v>251</v>
      </c>
      <c r="J6" s="166">
        <f t="shared" ref="J6:J27" si="1">E6/F6</f>
        <v>8.6363636363636367</v>
      </c>
      <c r="K6" s="910" t="s">
        <v>218</v>
      </c>
      <c r="L6" s="911"/>
    </row>
    <row r="7" spans="1:12" ht="152.25" customHeight="1" thickBot="1">
      <c r="A7" s="217" t="s">
        <v>162</v>
      </c>
      <c r="B7" s="132">
        <f>'7'!I7</f>
        <v>241</v>
      </c>
      <c r="C7" s="133">
        <v>200</v>
      </c>
      <c r="D7" s="139">
        <f t="shared" si="0"/>
        <v>441</v>
      </c>
      <c r="E7" s="135">
        <v>155</v>
      </c>
      <c r="F7" s="136">
        <v>8.5</v>
      </c>
      <c r="G7" s="137">
        <f>'7'!H7</f>
        <v>1476.5</v>
      </c>
      <c r="H7" s="134">
        <f t="shared" ref="H7:H27" si="2">SUM(G7,F7)</f>
        <v>1485</v>
      </c>
      <c r="I7" s="167">
        <f t="shared" ref="I7:I27" si="3">D7-E7</f>
        <v>286</v>
      </c>
      <c r="J7" s="168">
        <f t="shared" si="1"/>
        <v>18.235294117647058</v>
      </c>
      <c r="K7" s="910" t="s">
        <v>218</v>
      </c>
      <c r="L7" s="911"/>
    </row>
    <row r="8" spans="1:12" ht="221.25" customHeight="1" thickBot="1">
      <c r="A8" s="217" t="s">
        <v>163</v>
      </c>
      <c r="B8" s="132">
        <f>'7'!I8</f>
        <v>96</v>
      </c>
      <c r="C8" s="133">
        <v>30</v>
      </c>
      <c r="D8" s="139">
        <f t="shared" si="0"/>
        <v>126</v>
      </c>
      <c r="E8" s="135">
        <v>0</v>
      </c>
      <c r="F8" s="136">
        <v>0</v>
      </c>
      <c r="G8" s="137">
        <f>'7'!H8</f>
        <v>1325</v>
      </c>
      <c r="H8" s="134">
        <f t="shared" si="2"/>
        <v>1325</v>
      </c>
      <c r="I8" s="167">
        <f t="shared" si="3"/>
        <v>126</v>
      </c>
      <c r="J8" s="168" t="e">
        <f t="shared" si="1"/>
        <v>#DIV/0!</v>
      </c>
      <c r="K8" s="862"/>
      <c r="L8" s="863"/>
    </row>
    <row r="9" spans="1:12" ht="212.25" customHeight="1">
      <c r="A9" s="217" t="s">
        <v>164</v>
      </c>
      <c r="B9" s="132">
        <f>'7'!I9</f>
        <v>140</v>
      </c>
      <c r="C9" s="133">
        <v>140</v>
      </c>
      <c r="D9" s="139">
        <f t="shared" si="0"/>
        <v>280</v>
      </c>
      <c r="E9" s="135">
        <v>148</v>
      </c>
      <c r="F9" s="136">
        <v>24</v>
      </c>
      <c r="G9" s="137">
        <f>'7'!H9</f>
        <v>3234</v>
      </c>
      <c r="H9" s="134">
        <f t="shared" si="2"/>
        <v>3258</v>
      </c>
      <c r="I9" s="167">
        <f t="shared" si="3"/>
        <v>132</v>
      </c>
      <c r="J9" s="168">
        <f t="shared" si="1"/>
        <v>6.166666666666667</v>
      </c>
      <c r="K9" s="862"/>
      <c r="L9" s="863"/>
    </row>
    <row r="10" spans="1:12" ht="182.25" customHeight="1">
      <c r="A10" s="217" t="s">
        <v>165</v>
      </c>
      <c r="B10" s="132">
        <f>'7'!I10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'7'!H10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94.25" customHeight="1">
      <c r="A11" s="217" t="s">
        <v>166</v>
      </c>
      <c r="B11" s="132">
        <f>'7'!I11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'7'!H11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7" t="s">
        <v>5</v>
      </c>
      <c r="B12" s="132">
        <f>'7'!I12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'7'!H12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167</v>
      </c>
      <c r="B13" s="132">
        <f>'7'!I13</f>
        <v>23</v>
      </c>
      <c r="C13" s="133">
        <v>0</v>
      </c>
      <c r="D13" s="139">
        <f t="shared" si="0"/>
        <v>23</v>
      </c>
      <c r="E13" s="135">
        <v>3</v>
      </c>
      <c r="F13" s="136">
        <v>1</v>
      </c>
      <c r="G13" s="137">
        <f>'7'!H13</f>
        <v>9</v>
      </c>
      <c r="H13" s="134">
        <f t="shared" si="2"/>
        <v>10</v>
      </c>
      <c r="I13" s="167">
        <f t="shared" si="3"/>
        <v>20</v>
      </c>
      <c r="J13" s="168">
        <f t="shared" si="1"/>
        <v>3</v>
      </c>
      <c r="K13" s="862"/>
      <c r="L13" s="863"/>
    </row>
    <row r="14" spans="1:12" ht="152.25" customHeight="1">
      <c r="A14" s="217" t="s">
        <v>168</v>
      </c>
      <c r="B14" s="132">
        <f>'7'!I14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'7'!H14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84.5">
      <c r="A15" s="217" t="s">
        <v>169</v>
      </c>
      <c r="B15" s="132">
        <f>'7'!I15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'7'!H15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84.5">
      <c r="A16" s="217" t="s">
        <v>170</v>
      </c>
      <c r="B16" s="132">
        <f>'7'!I16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'7'!H16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91.25" customHeight="1">
      <c r="A17" s="217" t="s">
        <v>171</v>
      </c>
      <c r="B17" s="132">
        <f>'7'!I17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'7'!H17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87" t="s">
        <v>11</v>
      </c>
      <c r="B18" s="132">
        <f>'7'!I18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'7'!H18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'7'!I19</f>
        <v>0</v>
      </c>
      <c r="C19" s="133"/>
      <c r="D19" s="139">
        <f t="shared" si="4"/>
        <v>0</v>
      </c>
      <c r="E19" s="135"/>
      <c r="F19" s="136"/>
      <c r="G19" s="137">
        <f>'7'!H19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'7'!I20</f>
        <v>0</v>
      </c>
      <c r="C20" s="133"/>
      <c r="D20" s="139">
        <f t="shared" si="4"/>
        <v>0</v>
      </c>
      <c r="E20" s="135"/>
      <c r="F20" s="136"/>
      <c r="G20" s="137">
        <f>'7'!H20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'7'!I21</f>
        <v>0</v>
      </c>
      <c r="C21" s="133"/>
      <c r="D21" s="139">
        <f t="shared" si="4"/>
        <v>0</v>
      </c>
      <c r="E21" s="135"/>
      <c r="F21" s="136"/>
      <c r="G21" s="137">
        <f>'7'!H21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'7'!I22</f>
        <v>0</v>
      </c>
      <c r="C22" s="133"/>
      <c r="D22" s="139">
        <f t="shared" si="4"/>
        <v>0</v>
      </c>
      <c r="E22" s="135"/>
      <c r="F22" s="136"/>
      <c r="G22" s="137">
        <f>'7'!H22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'7'!I23</f>
        <v>0</v>
      </c>
      <c r="C23" s="174"/>
      <c r="D23" s="139">
        <f t="shared" si="4"/>
        <v>0</v>
      </c>
      <c r="E23" s="175"/>
      <c r="F23" s="176"/>
      <c r="G23" s="137">
        <f>'7'!H23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'7'!I24</f>
        <v>0</v>
      </c>
      <c r="C24" s="174"/>
      <c r="D24" s="139">
        <f t="shared" si="4"/>
        <v>0</v>
      </c>
      <c r="E24" s="175"/>
      <c r="F24" s="176"/>
      <c r="G24" s="137">
        <f>'7'!H24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'7'!I25</f>
        <v>0</v>
      </c>
      <c r="C25" s="174"/>
      <c r="D25" s="139">
        <f t="shared" si="4"/>
        <v>0</v>
      </c>
      <c r="E25" s="175"/>
      <c r="F25" s="176"/>
      <c r="G25" s="137">
        <f>'7'!H25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862"/>
      <c r="L25" s="863"/>
    </row>
    <row r="26" spans="1:12" ht="152.25" hidden="1" customHeight="1">
      <c r="A26" s="197"/>
      <c r="B26" s="132">
        <f>'7'!I26</f>
        <v>0</v>
      </c>
      <c r="C26" s="177"/>
      <c r="D26" s="148">
        <f t="shared" si="4"/>
        <v>0</v>
      </c>
      <c r="E26" s="178"/>
      <c r="F26" s="179"/>
      <c r="G26" s="137">
        <f>'7'!H26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862"/>
      <c r="L26" s="863"/>
    </row>
    <row r="27" spans="1:12" ht="152.25" hidden="1" customHeight="1">
      <c r="A27" s="198"/>
      <c r="B27" s="132">
        <f>'7'!I27</f>
        <v>0</v>
      </c>
      <c r="C27" s="180"/>
      <c r="D27" s="148">
        <f t="shared" si="4"/>
        <v>0</v>
      </c>
      <c r="E27" s="180"/>
      <c r="F27" s="179"/>
      <c r="G27" s="137">
        <f>'7'!H27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214"/>
      <c r="L27" s="215"/>
    </row>
    <row r="28" spans="1:12" ht="152.25" customHeight="1" thickBot="1">
      <c r="A28" s="199" t="s">
        <v>114</v>
      </c>
      <c r="B28" s="41"/>
      <c r="C28" s="40">
        <f>SUM(C6:C27)</f>
        <v>570</v>
      </c>
      <c r="D28" s="40">
        <f t="shared" ref="D28:F28" si="5">SUM(D6:D27)</f>
        <v>1337</v>
      </c>
      <c r="E28" s="40">
        <f t="shared" si="5"/>
        <v>496</v>
      </c>
      <c r="F28" s="40">
        <f t="shared" si="5"/>
        <v>55.5</v>
      </c>
      <c r="G28" s="883"/>
      <c r="H28" s="884"/>
      <c r="I28" s="40">
        <f t="shared" ref="I28" si="6">SUM(I6:I27)</f>
        <v>841</v>
      </c>
      <c r="J28" s="111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184.5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'7'!G31</f>
        <v>885</v>
      </c>
      <c r="C31" s="154">
        <v>0</v>
      </c>
      <c r="D31" s="17">
        <f>SUM(B31:C31)</f>
        <v>885</v>
      </c>
      <c r="E31" s="155">
        <f>C28</f>
        <v>570</v>
      </c>
      <c r="F31" s="17">
        <f>E28</f>
        <v>496</v>
      </c>
      <c r="G31" s="156">
        <f>D31-E31</f>
        <v>315</v>
      </c>
      <c r="H31" s="900"/>
      <c r="I31" s="901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112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03.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63.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21.5" customHeight="1">
      <c r="A36" s="205" t="s">
        <v>139</v>
      </c>
      <c r="B36" s="158">
        <f>'7'!F36</f>
        <v>92</v>
      </c>
      <c r="C36" s="159"/>
      <c r="D36" s="160">
        <f>SUM(B36:C36)</f>
        <v>92</v>
      </c>
      <c r="E36" s="161">
        <v>5</v>
      </c>
      <c r="F36" s="160">
        <f>D36-E36</f>
        <v>87</v>
      </c>
      <c r="G36" s="69" t="s">
        <v>216</v>
      </c>
      <c r="H36" s="59"/>
      <c r="I36" s="59"/>
    </row>
    <row r="37" spans="1:10" ht="103.5" customHeight="1">
      <c r="A37" s="206" t="s">
        <v>140</v>
      </c>
      <c r="B37" s="158">
        <f>'7'!F37</f>
        <v>420</v>
      </c>
      <c r="C37" s="159"/>
      <c r="D37" s="162">
        <f t="shared" ref="D37:D47" si="7">SUM(B37:C37)</f>
        <v>420</v>
      </c>
      <c r="E37" s="161"/>
      <c r="F37" s="162">
        <f t="shared" ref="F37:F47" si="8">D37-E37</f>
        <v>420</v>
      </c>
      <c r="G37" s="72"/>
      <c r="H37" s="59"/>
      <c r="I37" s="59"/>
    </row>
    <row r="38" spans="1:10" ht="103.5" customHeight="1">
      <c r="A38" s="206" t="s">
        <v>141</v>
      </c>
      <c r="B38" s="158">
        <f>'7'!F38</f>
        <v>270</v>
      </c>
      <c r="C38" s="159"/>
      <c r="D38" s="162">
        <f t="shared" si="7"/>
        <v>270</v>
      </c>
      <c r="E38" s="161">
        <v>15</v>
      </c>
      <c r="F38" s="162">
        <f t="shared" si="8"/>
        <v>255</v>
      </c>
      <c r="G38" s="664" t="s">
        <v>215</v>
      </c>
      <c r="H38" s="74"/>
      <c r="I38" s="74"/>
    </row>
    <row r="39" spans="1:10" ht="123">
      <c r="A39" s="206" t="s">
        <v>142</v>
      </c>
      <c r="B39" s="158">
        <f>'7'!F39</f>
        <v>48</v>
      </c>
      <c r="C39" s="159"/>
      <c r="D39" s="162">
        <f t="shared" si="7"/>
        <v>48</v>
      </c>
      <c r="E39" s="161">
        <v>5</v>
      </c>
      <c r="F39" s="162">
        <f t="shared" si="8"/>
        <v>43</v>
      </c>
      <c r="G39" s="190" t="s">
        <v>219</v>
      </c>
      <c r="H39" s="59"/>
      <c r="I39" s="59"/>
    </row>
    <row r="40" spans="1:10" ht="139.5" customHeight="1">
      <c r="A40" s="206" t="s">
        <v>143</v>
      </c>
      <c r="B40" s="158">
        <f>'7'!F40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03.5" customHeight="1">
      <c r="A41" s="206" t="s">
        <v>144</v>
      </c>
      <c r="B41" s="158">
        <f>'7'!F41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03.5" customHeight="1">
      <c r="A42" s="206" t="s">
        <v>145</v>
      </c>
      <c r="B42" s="158">
        <f>'7'!F42</f>
        <v>160</v>
      </c>
      <c r="C42" s="159"/>
      <c r="D42" s="162">
        <f t="shared" si="7"/>
        <v>160</v>
      </c>
      <c r="E42" s="161"/>
      <c r="F42" s="162">
        <f t="shared" si="8"/>
        <v>160</v>
      </c>
      <c r="G42" s="189"/>
      <c r="H42" s="59"/>
      <c r="I42" s="59"/>
    </row>
    <row r="43" spans="1:10" ht="103.5" customHeight="1">
      <c r="A43" s="206" t="s">
        <v>86</v>
      </c>
      <c r="B43" s="158">
        <f>'7'!F43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03.5" customHeight="1">
      <c r="A44" s="206" t="s">
        <v>146</v>
      </c>
      <c r="B44" s="158">
        <f>'7'!F44</f>
        <v>15</v>
      </c>
      <c r="C44" s="159"/>
      <c r="D44" s="162">
        <f t="shared" si="7"/>
        <v>15</v>
      </c>
      <c r="E44" s="161"/>
      <c r="F44" s="162">
        <f t="shared" si="8"/>
        <v>15</v>
      </c>
      <c r="G44" s="207"/>
      <c r="H44" s="74"/>
      <c r="I44" s="74"/>
    </row>
    <row r="45" spans="1:10" ht="103.5" customHeight="1">
      <c r="A45" s="206" t="s">
        <v>147</v>
      </c>
      <c r="B45" s="158">
        <f>'7'!F45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03.5" customHeight="1">
      <c r="A46" s="210" t="s">
        <v>148</v>
      </c>
      <c r="B46" s="158">
        <f>'7'!F46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79"/>
      <c r="H46" s="57"/>
      <c r="I46" s="76"/>
    </row>
    <row r="47" spans="1:10" ht="79.5" customHeight="1">
      <c r="A47" s="212" t="s">
        <v>92</v>
      </c>
      <c r="B47" s="158">
        <f>'7'!F47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117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17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17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17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103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0866141732283472" right="0.70866141732283472" top="0.74803149606299213" bottom="0.74803149606299213" header="0.31496062992125984" footer="0.31496062992125984"/>
  <pageSetup scale="1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3"/>
  <sheetViews>
    <sheetView topLeftCell="A15" zoomScale="25" zoomScaleNormal="25" workbookViewId="0">
      <selection activeCell="C6" sqref="C6"/>
    </sheetView>
  </sheetViews>
  <sheetFormatPr defaultColWidth="9" defaultRowHeight="33.75"/>
  <cols>
    <col min="1" max="1" width="69.140625" style="3" customWidth="1"/>
    <col min="2" max="2" width="60" style="3" customWidth="1"/>
    <col min="3" max="5" width="48" style="3" customWidth="1"/>
    <col min="6" max="6" width="54.85546875" style="3" customWidth="1"/>
    <col min="7" max="7" width="72.5703125" style="3" customWidth="1"/>
    <col min="8" max="8" width="57.140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23">
      <c r="A2" s="250" t="s">
        <v>160</v>
      </c>
      <c r="B2" s="251" t="s">
        <v>178</v>
      </c>
      <c r="C2" s="893"/>
      <c r="D2" s="893"/>
      <c r="E2" s="893"/>
      <c r="F2" s="893"/>
      <c r="G2" s="252" t="s">
        <v>107</v>
      </c>
      <c r="H2" s="698">
        <v>46243</v>
      </c>
      <c r="I2" s="877"/>
      <c r="J2" s="877"/>
      <c r="K2" s="877"/>
      <c r="L2" s="878"/>
    </row>
    <row r="3" spans="1:12" ht="61.5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01.25" customHeight="1">
      <c r="A4" s="894"/>
      <c r="B4" s="895"/>
      <c r="C4" s="14">
        <v>15.25</v>
      </c>
      <c r="D4" s="14">
        <v>1.5</v>
      </c>
      <c r="E4" s="14">
        <v>7.25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'8'!I6</f>
        <v>251</v>
      </c>
      <c r="C6" s="133">
        <v>150</v>
      </c>
      <c r="D6" s="134">
        <f t="shared" ref="D6:D15" si="0">B6+C6</f>
        <v>401</v>
      </c>
      <c r="E6" s="135">
        <v>138</v>
      </c>
      <c r="F6" s="136">
        <v>16.3</v>
      </c>
      <c r="G6" s="137">
        <f>'8'!H6</f>
        <v>25234</v>
      </c>
      <c r="H6" s="138">
        <f>SUM(G6,F6)</f>
        <v>25250.3</v>
      </c>
      <c r="I6" s="165">
        <f>D6-E6</f>
        <v>263</v>
      </c>
      <c r="J6" s="166">
        <f t="shared" ref="J6:J27" si="1">E6/F6</f>
        <v>8.4662576687116555</v>
      </c>
      <c r="K6" s="910" t="s">
        <v>220</v>
      </c>
      <c r="L6" s="911"/>
    </row>
    <row r="7" spans="1:12" ht="167.25" customHeight="1" thickBot="1">
      <c r="A7" s="217" t="s">
        <v>162</v>
      </c>
      <c r="B7" s="132">
        <f>'8'!I7</f>
        <v>286</v>
      </c>
      <c r="C7" s="133">
        <v>200</v>
      </c>
      <c r="D7" s="139">
        <f t="shared" si="0"/>
        <v>486</v>
      </c>
      <c r="E7" s="135">
        <v>292</v>
      </c>
      <c r="F7" s="136">
        <v>14.5</v>
      </c>
      <c r="G7" s="137">
        <f>'8'!H7</f>
        <v>1485</v>
      </c>
      <c r="H7" s="134">
        <f t="shared" ref="H7:H27" si="2">SUM(G7,F7)</f>
        <v>1499.5</v>
      </c>
      <c r="I7" s="167">
        <f t="shared" ref="I7:I27" si="3">D7-E7</f>
        <v>194</v>
      </c>
      <c r="J7" s="168">
        <f t="shared" si="1"/>
        <v>20.137931034482758</v>
      </c>
      <c r="K7" s="910" t="s">
        <v>220</v>
      </c>
      <c r="L7" s="911"/>
    </row>
    <row r="8" spans="1:12" ht="152.25" customHeight="1" thickBot="1">
      <c r="A8" s="217" t="s">
        <v>163</v>
      </c>
      <c r="B8" s="132">
        <f>'8'!I8</f>
        <v>126</v>
      </c>
      <c r="C8" s="133">
        <v>155</v>
      </c>
      <c r="D8" s="139">
        <f t="shared" si="0"/>
        <v>281</v>
      </c>
      <c r="E8" s="135">
        <v>160</v>
      </c>
      <c r="F8" s="136">
        <v>24</v>
      </c>
      <c r="G8" s="137">
        <f>'8'!H8</f>
        <v>1325</v>
      </c>
      <c r="H8" s="134">
        <f t="shared" si="2"/>
        <v>1349</v>
      </c>
      <c r="I8" s="167">
        <f t="shared" si="3"/>
        <v>121</v>
      </c>
      <c r="J8" s="168">
        <f t="shared" si="1"/>
        <v>6.666666666666667</v>
      </c>
      <c r="K8" s="862"/>
      <c r="L8" s="863"/>
    </row>
    <row r="9" spans="1:12" ht="152.25" customHeight="1">
      <c r="A9" s="217" t="s">
        <v>164</v>
      </c>
      <c r="B9" s="132">
        <f>'8'!I9</f>
        <v>132</v>
      </c>
      <c r="C9" s="133">
        <v>0</v>
      </c>
      <c r="D9" s="139">
        <f t="shared" si="0"/>
        <v>132</v>
      </c>
      <c r="E9" s="135">
        <v>0</v>
      </c>
      <c r="F9" s="136">
        <v>0</v>
      </c>
      <c r="G9" s="137">
        <f>'8'!H9</f>
        <v>3258</v>
      </c>
      <c r="H9" s="134">
        <f t="shared" si="2"/>
        <v>3258</v>
      </c>
      <c r="I9" s="167">
        <f t="shared" si="3"/>
        <v>132</v>
      </c>
      <c r="J9" s="168" t="e">
        <f t="shared" si="1"/>
        <v>#DIV/0!</v>
      </c>
      <c r="K9" s="862"/>
      <c r="L9" s="863"/>
    </row>
    <row r="10" spans="1:12" ht="185.25" customHeight="1">
      <c r="A10" s="217" t="s">
        <v>165</v>
      </c>
      <c r="B10" s="132">
        <f>'8'!I10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'8'!H10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82.25" customHeight="1">
      <c r="A11" s="217" t="s">
        <v>166</v>
      </c>
      <c r="B11" s="132">
        <f>'8'!I11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'8'!H11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215.25" customHeight="1">
      <c r="A12" s="217" t="s">
        <v>5</v>
      </c>
      <c r="B12" s="132">
        <f>'8'!I12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'8'!H12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167</v>
      </c>
      <c r="B13" s="132">
        <f>'8'!I13</f>
        <v>20</v>
      </c>
      <c r="C13" s="133">
        <v>0</v>
      </c>
      <c r="D13" s="139">
        <f t="shared" si="0"/>
        <v>20</v>
      </c>
      <c r="E13" s="135">
        <v>0</v>
      </c>
      <c r="F13" s="136">
        <v>0</v>
      </c>
      <c r="G13" s="137">
        <f>'8'!H13</f>
        <v>10</v>
      </c>
      <c r="H13" s="134">
        <f t="shared" si="2"/>
        <v>10</v>
      </c>
      <c r="I13" s="167">
        <f t="shared" si="3"/>
        <v>20</v>
      </c>
      <c r="J13" s="168" t="e">
        <f t="shared" si="1"/>
        <v>#DIV/0!</v>
      </c>
      <c r="K13" s="862"/>
      <c r="L13" s="863"/>
    </row>
    <row r="14" spans="1:12" ht="152.25" customHeight="1">
      <c r="A14" s="217" t="s">
        <v>168</v>
      </c>
      <c r="B14" s="132">
        <f>'8'!I14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'8'!H14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70.25" customHeight="1">
      <c r="A15" s="217" t="s">
        <v>169</v>
      </c>
      <c r="B15" s="132">
        <f>'8'!I15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'8'!H15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203.25" customHeight="1">
      <c r="A16" s="217" t="s">
        <v>170</v>
      </c>
      <c r="B16" s="132">
        <f>'8'!I16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'8'!H16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94.25" customHeight="1">
      <c r="A17" s="217" t="s">
        <v>171</v>
      </c>
      <c r="B17" s="132">
        <f>'8'!I17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'8'!H17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87" t="s">
        <v>11</v>
      </c>
      <c r="B18" s="132">
        <f>'8'!I18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'8'!H18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255">
        <f>'8'!I19</f>
        <v>0</v>
      </c>
      <c r="C19" s="256"/>
      <c r="D19" s="257">
        <f t="shared" si="4"/>
        <v>0</v>
      </c>
      <c r="E19" s="258"/>
      <c r="F19" s="259"/>
      <c r="G19" s="260">
        <f>'8'!H19</f>
        <v>0</v>
      </c>
      <c r="H19" s="261">
        <f t="shared" si="2"/>
        <v>0</v>
      </c>
      <c r="I19" s="273">
        <f t="shared" si="3"/>
        <v>0</v>
      </c>
      <c r="J19" s="274" t="e">
        <f t="shared" si="1"/>
        <v>#DIV/0!</v>
      </c>
      <c r="K19" s="862"/>
      <c r="L19" s="863"/>
    </row>
    <row r="20" spans="1:12" ht="152.25" hidden="1" customHeight="1">
      <c r="A20" s="197"/>
      <c r="B20" s="255">
        <f>'8'!I20</f>
        <v>0</v>
      </c>
      <c r="C20" s="256"/>
      <c r="D20" s="257">
        <f t="shared" si="4"/>
        <v>0</v>
      </c>
      <c r="E20" s="258"/>
      <c r="F20" s="259"/>
      <c r="G20" s="260">
        <f>'8'!H20</f>
        <v>0</v>
      </c>
      <c r="H20" s="261">
        <f t="shared" si="2"/>
        <v>0</v>
      </c>
      <c r="I20" s="273">
        <f t="shared" si="3"/>
        <v>0</v>
      </c>
      <c r="J20" s="274" t="e">
        <f t="shared" si="1"/>
        <v>#DIV/0!</v>
      </c>
      <c r="K20" s="862"/>
      <c r="L20" s="863"/>
    </row>
    <row r="21" spans="1:12" ht="152.25" hidden="1" customHeight="1">
      <c r="A21" s="197"/>
      <c r="B21" s="255">
        <f>'8'!I21</f>
        <v>0</v>
      </c>
      <c r="C21" s="256"/>
      <c r="D21" s="257">
        <f t="shared" si="4"/>
        <v>0</v>
      </c>
      <c r="E21" s="258"/>
      <c r="F21" s="259"/>
      <c r="G21" s="260">
        <f>'8'!H21</f>
        <v>0</v>
      </c>
      <c r="H21" s="261">
        <f t="shared" si="2"/>
        <v>0</v>
      </c>
      <c r="I21" s="273">
        <f t="shared" si="3"/>
        <v>0</v>
      </c>
      <c r="J21" s="274" t="e">
        <f t="shared" si="1"/>
        <v>#DIV/0!</v>
      </c>
      <c r="K21" s="862"/>
      <c r="L21" s="863"/>
    </row>
    <row r="22" spans="1:12" ht="152.25" hidden="1" customHeight="1">
      <c r="A22" s="197"/>
      <c r="B22" s="255">
        <f>'8'!I22</f>
        <v>0</v>
      </c>
      <c r="C22" s="256"/>
      <c r="D22" s="257">
        <f t="shared" si="4"/>
        <v>0</v>
      </c>
      <c r="E22" s="258"/>
      <c r="F22" s="259"/>
      <c r="G22" s="260">
        <f>'8'!H22</f>
        <v>0</v>
      </c>
      <c r="H22" s="261">
        <f t="shared" si="2"/>
        <v>0</v>
      </c>
      <c r="I22" s="273">
        <f t="shared" si="3"/>
        <v>0</v>
      </c>
      <c r="J22" s="274" t="e">
        <f t="shared" si="1"/>
        <v>#DIV/0!</v>
      </c>
      <c r="K22" s="862"/>
      <c r="L22" s="863"/>
    </row>
    <row r="23" spans="1:12" ht="152.25" hidden="1" customHeight="1">
      <c r="A23" s="197"/>
      <c r="B23" s="255">
        <f>'8'!I23</f>
        <v>0</v>
      </c>
      <c r="C23" s="262"/>
      <c r="D23" s="257">
        <f t="shared" si="4"/>
        <v>0</v>
      </c>
      <c r="E23" s="263"/>
      <c r="F23" s="264"/>
      <c r="G23" s="260">
        <f>'8'!H23</f>
        <v>0</v>
      </c>
      <c r="H23" s="261">
        <f t="shared" si="2"/>
        <v>0</v>
      </c>
      <c r="I23" s="273">
        <f t="shared" si="3"/>
        <v>0</v>
      </c>
      <c r="J23" s="274" t="e">
        <f t="shared" si="1"/>
        <v>#DIV/0!</v>
      </c>
      <c r="K23" s="862"/>
      <c r="L23" s="863"/>
    </row>
    <row r="24" spans="1:12" ht="152.25" hidden="1" customHeight="1">
      <c r="A24" s="197"/>
      <c r="B24" s="255">
        <f>'8'!I24</f>
        <v>0</v>
      </c>
      <c r="C24" s="262"/>
      <c r="D24" s="257">
        <f t="shared" si="4"/>
        <v>0</v>
      </c>
      <c r="E24" s="263"/>
      <c r="F24" s="264"/>
      <c r="G24" s="260">
        <f>'8'!H24</f>
        <v>0</v>
      </c>
      <c r="H24" s="261">
        <f t="shared" si="2"/>
        <v>0</v>
      </c>
      <c r="I24" s="273">
        <f t="shared" si="3"/>
        <v>0</v>
      </c>
      <c r="J24" s="274" t="e">
        <f t="shared" si="1"/>
        <v>#DIV/0!</v>
      </c>
      <c r="K24" s="862"/>
      <c r="L24" s="863"/>
    </row>
    <row r="25" spans="1:12" ht="152.25" hidden="1" customHeight="1">
      <c r="A25" s="197"/>
      <c r="B25" s="255">
        <f>'8'!I25</f>
        <v>0</v>
      </c>
      <c r="C25" s="262"/>
      <c r="D25" s="257">
        <f t="shared" si="4"/>
        <v>0</v>
      </c>
      <c r="E25" s="263"/>
      <c r="F25" s="264"/>
      <c r="G25" s="260">
        <f>'8'!H25</f>
        <v>0</v>
      </c>
      <c r="H25" s="261">
        <f t="shared" si="2"/>
        <v>0</v>
      </c>
      <c r="I25" s="273">
        <f t="shared" si="3"/>
        <v>0</v>
      </c>
      <c r="J25" s="274" t="e">
        <f t="shared" si="1"/>
        <v>#DIV/0!</v>
      </c>
      <c r="K25" s="862"/>
      <c r="L25" s="863"/>
    </row>
    <row r="26" spans="1:12" ht="152.25" hidden="1" customHeight="1">
      <c r="A26" s="197"/>
      <c r="B26" s="255">
        <f>'8'!I26</f>
        <v>0</v>
      </c>
      <c r="C26" s="265"/>
      <c r="D26" s="266">
        <f t="shared" si="4"/>
        <v>0</v>
      </c>
      <c r="E26" s="267"/>
      <c r="F26" s="268"/>
      <c r="G26" s="260">
        <f>'8'!H26</f>
        <v>0</v>
      </c>
      <c r="H26" s="269">
        <f t="shared" si="2"/>
        <v>0</v>
      </c>
      <c r="I26" s="275">
        <f t="shared" si="3"/>
        <v>0</v>
      </c>
      <c r="J26" s="276" t="e">
        <f t="shared" si="1"/>
        <v>#DIV/0!</v>
      </c>
      <c r="K26" s="862"/>
      <c r="L26" s="863"/>
    </row>
    <row r="27" spans="1:12" ht="152.25" hidden="1" customHeight="1">
      <c r="A27" s="198"/>
      <c r="B27" s="255">
        <f>'8'!I27</f>
        <v>0</v>
      </c>
      <c r="C27" s="270"/>
      <c r="D27" s="266">
        <f t="shared" si="4"/>
        <v>0</v>
      </c>
      <c r="E27" s="270"/>
      <c r="F27" s="268"/>
      <c r="G27" s="260">
        <f>'8'!H27</f>
        <v>0</v>
      </c>
      <c r="H27" s="269">
        <f t="shared" si="2"/>
        <v>0</v>
      </c>
      <c r="I27" s="275">
        <f t="shared" si="3"/>
        <v>0</v>
      </c>
      <c r="J27" s="277" t="e">
        <f t="shared" si="1"/>
        <v>#DIV/0!</v>
      </c>
      <c r="K27" s="214"/>
      <c r="L27" s="215"/>
    </row>
    <row r="28" spans="1:12" ht="152.25" customHeight="1" thickBot="1">
      <c r="A28" s="199" t="s">
        <v>114</v>
      </c>
      <c r="B28" s="41"/>
      <c r="C28" s="40">
        <f>SUM(C6:C27)</f>
        <v>505</v>
      </c>
      <c r="D28" s="40">
        <f t="shared" ref="D28:F28" si="5">SUM(D6:D27)</f>
        <v>1346</v>
      </c>
      <c r="E28" s="40">
        <f t="shared" si="5"/>
        <v>590</v>
      </c>
      <c r="F28" s="40">
        <f t="shared" si="5"/>
        <v>54.8</v>
      </c>
      <c r="G28" s="883"/>
      <c r="H28" s="884"/>
      <c r="I28" s="40">
        <f t="shared" ref="I28" si="6">SUM(I6:I27)</f>
        <v>756</v>
      </c>
      <c r="J28" s="111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27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'8'!G31</f>
        <v>315</v>
      </c>
      <c r="C31" s="154">
        <v>800</v>
      </c>
      <c r="D31" s="17">
        <f>SUM(B31:C31)</f>
        <v>1115</v>
      </c>
      <c r="E31" s="155">
        <f>C28</f>
        <v>505</v>
      </c>
      <c r="F31" s="17">
        <f>E28</f>
        <v>590</v>
      </c>
      <c r="G31" s="156">
        <f>D31-E31</f>
        <v>610</v>
      </c>
      <c r="H31" s="900"/>
      <c r="I31" s="901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100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00.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226.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23">
      <c r="A36" s="205" t="s">
        <v>139</v>
      </c>
      <c r="B36" s="158">
        <f>'8'!F36</f>
        <v>87</v>
      </c>
      <c r="C36" s="159"/>
      <c r="D36" s="160">
        <f>SUM(B36:C36)</f>
        <v>87</v>
      </c>
      <c r="E36" s="161"/>
      <c r="F36" s="160">
        <f>D36-E36</f>
        <v>87</v>
      </c>
      <c r="G36" s="295"/>
      <c r="H36" s="59"/>
      <c r="I36" s="59"/>
    </row>
    <row r="37" spans="1:10" ht="184.5">
      <c r="A37" s="206" t="s">
        <v>140</v>
      </c>
      <c r="B37" s="158">
        <f>'8'!F37</f>
        <v>420</v>
      </c>
      <c r="C37" s="159"/>
      <c r="D37" s="162">
        <f t="shared" ref="D37:D47" si="7">SUM(B37:C37)</f>
        <v>420</v>
      </c>
      <c r="E37" s="161">
        <v>125</v>
      </c>
      <c r="F37" s="162">
        <f t="shared" ref="F37:F47" si="8">D37-E37</f>
        <v>295</v>
      </c>
      <c r="G37" s="190" t="s">
        <v>221</v>
      </c>
      <c r="H37" s="59"/>
      <c r="I37" s="59"/>
    </row>
    <row r="38" spans="1:10" ht="123">
      <c r="A38" s="206" t="s">
        <v>141</v>
      </c>
      <c r="B38" s="158">
        <f>'8'!F38</f>
        <v>255</v>
      </c>
      <c r="C38" s="159"/>
      <c r="D38" s="162">
        <f t="shared" si="7"/>
        <v>255</v>
      </c>
      <c r="E38" s="161"/>
      <c r="F38" s="162">
        <f t="shared" si="8"/>
        <v>255</v>
      </c>
      <c r="G38" s="73"/>
      <c r="H38" s="74"/>
      <c r="I38" s="74"/>
    </row>
    <row r="39" spans="1:10" ht="185.25" customHeight="1">
      <c r="A39" s="206" t="s">
        <v>142</v>
      </c>
      <c r="B39" s="158">
        <f>'8'!F39</f>
        <v>43</v>
      </c>
      <c r="C39" s="159"/>
      <c r="D39" s="162">
        <f t="shared" si="7"/>
        <v>43</v>
      </c>
      <c r="E39" s="161"/>
      <c r="F39" s="162">
        <f t="shared" si="8"/>
        <v>43</v>
      </c>
      <c r="G39" s="190"/>
      <c r="H39" s="59"/>
      <c r="I39" s="59"/>
    </row>
    <row r="40" spans="1:10" ht="123">
      <c r="A40" s="206" t="s">
        <v>143</v>
      </c>
      <c r="B40" s="158">
        <f>'8'!F40</f>
        <v>0</v>
      </c>
      <c r="C40" s="670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00.5" customHeight="1">
      <c r="A41" s="206" t="s">
        <v>144</v>
      </c>
      <c r="B41" s="158">
        <f>'8'!F41</f>
        <v>0</v>
      </c>
      <c r="C41" s="670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216" customHeight="1">
      <c r="A42" s="206" t="s">
        <v>145</v>
      </c>
      <c r="B42" s="158">
        <f>'8'!F42</f>
        <v>160</v>
      </c>
      <c r="C42" s="670"/>
      <c r="D42" s="162">
        <f t="shared" si="7"/>
        <v>160</v>
      </c>
      <c r="E42" s="161">
        <v>35</v>
      </c>
      <c r="F42" s="162">
        <f t="shared" si="8"/>
        <v>125</v>
      </c>
      <c r="G42" s="189" t="s">
        <v>222</v>
      </c>
      <c r="H42" s="59"/>
      <c r="I42" s="59"/>
    </row>
    <row r="43" spans="1:10" ht="123">
      <c r="A43" s="206" t="s">
        <v>86</v>
      </c>
      <c r="B43" s="158">
        <f>'8'!F43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23">
      <c r="A44" s="206" t="s">
        <v>146</v>
      </c>
      <c r="B44" s="158">
        <f>'8'!F44</f>
        <v>15</v>
      </c>
      <c r="C44" s="159"/>
      <c r="D44" s="162">
        <f t="shared" si="7"/>
        <v>15</v>
      </c>
      <c r="E44" s="161"/>
      <c r="F44" s="162">
        <f t="shared" si="8"/>
        <v>15</v>
      </c>
      <c r="G44" s="664"/>
      <c r="H44" s="74"/>
      <c r="I44" s="74"/>
    </row>
    <row r="45" spans="1:10" ht="184.5">
      <c r="A45" s="206" t="s">
        <v>147</v>
      </c>
      <c r="B45" s="158">
        <f>'8'!F45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23">
      <c r="A46" s="210" t="s">
        <v>148</v>
      </c>
      <c r="B46" s="158">
        <f>'8'!F46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211"/>
      <c r="H46" s="57"/>
      <c r="I46" s="76"/>
    </row>
    <row r="47" spans="1:10" ht="129" customHeight="1">
      <c r="A47" s="212" t="s">
        <v>92</v>
      </c>
      <c r="B47" s="158">
        <f>'8'!F47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82"/>
      <c r="H47" s="57"/>
      <c r="I47" s="59"/>
    </row>
    <row r="48" spans="1:10" ht="103.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03.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03.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03.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76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51181102362204722" right="0.51181102362204722" top="0.55118110236220474" bottom="0.55118110236220474" header="0.31496062992125984" footer="0.31496062992125984"/>
  <pageSetup scale="1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3"/>
  <sheetViews>
    <sheetView zoomScale="25" zoomScaleNormal="25" workbookViewId="0">
      <selection activeCell="H2" sqref="H2"/>
    </sheetView>
  </sheetViews>
  <sheetFormatPr defaultColWidth="9" defaultRowHeight="33.75"/>
  <cols>
    <col min="1" max="1" width="71.42578125" style="3" customWidth="1"/>
    <col min="2" max="2" width="54.28515625" style="3" customWidth="1"/>
    <col min="3" max="6" width="48" style="3" customWidth="1"/>
    <col min="7" max="7" width="70.28515625" style="3" customWidth="1"/>
    <col min="8" max="8" width="57.140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177</v>
      </c>
      <c r="C2" s="893"/>
      <c r="D2" s="893"/>
      <c r="E2" s="893"/>
      <c r="F2" s="893"/>
      <c r="G2" s="252" t="s">
        <v>107</v>
      </c>
      <c r="H2" s="699">
        <v>46244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279">
        <v>11</v>
      </c>
      <c r="D4" s="279">
        <v>2</v>
      </c>
      <c r="E4" s="279">
        <v>11</v>
      </c>
      <c r="F4" s="279">
        <v>0</v>
      </c>
      <c r="G4" s="280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'9'!I6</f>
        <v>263</v>
      </c>
      <c r="C6" s="133">
        <v>200</v>
      </c>
      <c r="D6" s="134">
        <f t="shared" ref="D6:D15" si="0">B6+C6</f>
        <v>463</v>
      </c>
      <c r="E6" s="135">
        <v>90</v>
      </c>
      <c r="F6" s="136">
        <v>14.5</v>
      </c>
      <c r="G6" s="137">
        <f>'9'!H6</f>
        <v>25250.3</v>
      </c>
      <c r="H6" s="138">
        <f>SUM(G6,F6)</f>
        <v>25264.799999999999</v>
      </c>
      <c r="I6" s="165">
        <f>D6-E6</f>
        <v>373</v>
      </c>
      <c r="J6" s="166">
        <f t="shared" ref="J6:J27" si="1">E6/F6</f>
        <v>6.2068965517241379</v>
      </c>
      <c r="K6" s="912"/>
      <c r="L6" s="913"/>
    </row>
    <row r="7" spans="1:12" ht="152.25" customHeight="1" thickBot="1">
      <c r="A7" s="217" t="s">
        <v>162</v>
      </c>
      <c r="B7" s="132">
        <f>'9'!I7</f>
        <v>194</v>
      </c>
      <c r="C7" s="133">
        <v>0</v>
      </c>
      <c r="D7" s="139">
        <f t="shared" si="0"/>
        <v>194</v>
      </c>
      <c r="E7" s="135">
        <v>13</v>
      </c>
      <c r="F7" s="136">
        <v>1</v>
      </c>
      <c r="G7" s="137">
        <f>'9'!H7</f>
        <v>1499.5</v>
      </c>
      <c r="H7" s="134">
        <f t="shared" ref="H7:H27" si="2">SUM(G7,F7)</f>
        <v>1500.5</v>
      </c>
      <c r="I7" s="167">
        <f t="shared" ref="I7:I27" si="3">D7-E7</f>
        <v>181</v>
      </c>
      <c r="J7" s="168">
        <f t="shared" si="1"/>
        <v>13</v>
      </c>
      <c r="K7" s="912"/>
      <c r="L7" s="913"/>
    </row>
    <row r="8" spans="1:12" ht="152.25" customHeight="1" thickBot="1">
      <c r="A8" s="217" t="s">
        <v>163</v>
      </c>
      <c r="B8" s="132">
        <f>'9'!I8</f>
        <v>121</v>
      </c>
      <c r="C8" s="133">
        <v>0</v>
      </c>
      <c r="D8" s="139">
        <f t="shared" si="0"/>
        <v>121</v>
      </c>
      <c r="E8" s="135">
        <v>0</v>
      </c>
      <c r="F8" s="136">
        <v>0</v>
      </c>
      <c r="G8" s="137">
        <f>'9'!H8</f>
        <v>1349</v>
      </c>
      <c r="H8" s="134">
        <f t="shared" si="2"/>
        <v>1349</v>
      </c>
      <c r="I8" s="167">
        <f t="shared" si="3"/>
        <v>121</v>
      </c>
      <c r="J8" s="168" t="e">
        <f t="shared" si="1"/>
        <v>#DIV/0!</v>
      </c>
      <c r="K8" s="914"/>
      <c r="L8" s="915"/>
    </row>
    <row r="9" spans="1:12" ht="191.25" customHeight="1">
      <c r="A9" s="217" t="s">
        <v>164</v>
      </c>
      <c r="B9" s="132">
        <f>'9'!I9</f>
        <v>132</v>
      </c>
      <c r="C9" s="133">
        <v>150</v>
      </c>
      <c r="D9" s="139">
        <f t="shared" si="0"/>
        <v>282</v>
      </c>
      <c r="E9" s="135">
        <f>24*6</f>
        <v>144</v>
      </c>
      <c r="F9" s="136">
        <v>24</v>
      </c>
      <c r="G9" s="137">
        <f>'9'!H9</f>
        <v>3258</v>
      </c>
      <c r="H9" s="134">
        <f t="shared" si="2"/>
        <v>3282</v>
      </c>
      <c r="I9" s="167">
        <f t="shared" si="3"/>
        <v>138</v>
      </c>
      <c r="J9" s="168">
        <f t="shared" si="1"/>
        <v>6</v>
      </c>
      <c r="K9" s="914"/>
      <c r="L9" s="915"/>
    </row>
    <row r="10" spans="1:12" ht="152.25" customHeight="1">
      <c r="A10" s="217" t="s">
        <v>165</v>
      </c>
      <c r="B10" s="132">
        <f>'9'!I10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'9'!H10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91.25" customHeight="1">
      <c r="A11" s="217" t="s">
        <v>166</v>
      </c>
      <c r="B11" s="132">
        <f>'9'!I11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'9'!H11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73.25" customHeight="1">
      <c r="A12" s="217" t="s">
        <v>5</v>
      </c>
      <c r="B12" s="132">
        <f>'9'!I12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'9'!H12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167</v>
      </c>
      <c r="B13" s="132">
        <f>'9'!I13</f>
        <v>20</v>
      </c>
      <c r="C13" s="133">
        <v>0</v>
      </c>
      <c r="D13" s="139">
        <f t="shared" si="0"/>
        <v>20</v>
      </c>
      <c r="E13" s="135">
        <v>0</v>
      </c>
      <c r="F13" s="136">
        <v>0</v>
      </c>
      <c r="G13" s="137">
        <f>'9'!H13</f>
        <v>10</v>
      </c>
      <c r="H13" s="134">
        <f t="shared" si="2"/>
        <v>10</v>
      </c>
      <c r="I13" s="167">
        <f t="shared" si="3"/>
        <v>20</v>
      </c>
      <c r="J13" s="168" t="e">
        <f t="shared" si="1"/>
        <v>#DIV/0!</v>
      </c>
      <c r="K13" s="862"/>
      <c r="L13" s="863"/>
    </row>
    <row r="14" spans="1:12" ht="152.25" customHeight="1">
      <c r="A14" s="217" t="s">
        <v>168</v>
      </c>
      <c r="B14" s="132">
        <f>'9'!I14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'9'!H14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209.25" customHeight="1">
      <c r="A15" s="217" t="s">
        <v>169</v>
      </c>
      <c r="B15" s="132">
        <f>'9'!I15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'9'!H15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230.25" customHeight="1">
      <c r="A16" s="217" t="s">
        <v>170</v>
      </c>
      <c r="B16" s="132">
        <f>'9'!I16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'9'!H16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91.25" customHeight="1">
      <c r="A17" s="217" t="s">
        <v>171</v>
      </c>
      <c r="B17" s="132">
        <f>'9'!I17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'9'!H17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87" t="s">
        <v>11</v>
      </c>
      <c r="B18" s="132">
        <f>'9'!I18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'9'!H18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255">
        <f>'9'!I19</f>
        <v>0</v>
      </c>
      <c r="C19" s="256"/>
      <c r="D19" s="257">
        <f t="shared" si="4"/>
        <v>0</v>
      </c>
      <c r="E19" s="258"/>
      <c r="F19" s="259"/>
      <c r="G19" s="260">
        <f>'9'!H19</f>
        <v>0</v>
      </c>
      <c r="H19" s="261">
        <f t="shared" si="2"/>
        <v>0</v>
      </c>
      <c r="I19" s="273">
        <f t="shared" si="3"/>
        <v>0</v>
      </c>
      <c r="J19" s="274" t="e">
        <f t="shared" si="1"/>
        <v>#DIV/0!</v>
      </c>
      <c r="K19" s="862"/>
      <c r="L19" s="863"/>
    </row>
    <row r="20" spans="1:12" ht="152.25" hidden="1" customHeight="1">
      <c r="A20" s="197"/>
      <c r="B20" s="255">
        <f>'9'!I20</f>
        <v>0</v>
      </c>
      <c r="C20" s="256"/>
      <c r="D20" s="257">
        <f t="shared" si="4"/>
        <v>0</v>
      </c>
      <c r="E20" s="258"/>
      <c r="F20" s="259"/>
      <c r="G20" s="260">
        <f>'9'!H20</f>
        <v>0</v>
      </c>
      <c r="H20" s="261">
        <f t="shared" si="2"/>
        <v>0</v>
      </c>
      <c r="I20" s="273">
        <f t="shared" si="3"/>
        <v>0</v>
      </c>
      <c r="J20" s="274" t="e">
        <f t="shared" si="1"/>
        <v>#DIV/0!</v>
      </c>
      <c r="K20" s="862"/>
      <c r="L20" s="863"/>
    </row>
    <row r="21" spans="1:12" ht="152.25" hidden="1" customHeight="1">
      <c r="A21" s="197"/>
      <c r="B21" s="255">
        <f>'9'!I21</f>
        <v>0</v>
      </c>
      <c r="C21" s="256"/>
      <c r="D21" s="257">
        <f t="shared" si="4"/>
        <v>0</v>
      </c>
      <c r="E21" s="258"/>
      <c r="F21" s="259"/>
      <c r="G21" s="260">
        <f>'9'!H21</f>
        <v>0</v>
      </c>
      <c r="H21" s="261">
        <f t="shared" si="2"/>
        <v>0</v>
      </c>
      <c r="I21" s="273">
        <f t="shared" si="3"/>
        <v>0</v>
      </c>
      <c r="J21" s="274" t="e">
        <f t="shared" si="1"/>
        <v>#DIV/0!</v>
      </c>
      <c r="K21" s="862"/>
      <c r="L21" s="863"/>
    </row>
    <row r="22" spans="1:12" ht="152.25" hidden="1" customHeight="1">
      <c r="A22" s="197"/>
      <c r="B22" s="255">
        <f>'9'!I22</f>
        <v>0</v>
      </c>
      <c r="C22" s="256"/>
      <c r="D22" s="257">
        <f t="shared" si="4"/>
        <v>0</v>
      </c>
      <c r="E22" s="258"/>
      <c r="F22" s="259"/>
      <c r="G22" s="260">
        <f>'9'!H22</f>
        <v>0</v>
      </c>
      <c r="H22" s="261">
        <f t="shared" si="2"/>
        <v>0</v>
      </c>
      <c r="I22" s="273">
        <f t="shared" si="3"/>
        <v>0</v>
      </c>
      <c r="J22" s="274" t="e">
        <f t="shared" si="1"/>
        <v>#DIV/0!</v>
      </c>
      <c r="K22" s="862"/>
      <c r="L22" s="863"/>
    </row>
    <row r="23" spans="1:12" ht="152.25" hidden="1" customHeight="1">
      <c r="A23" s="197"/>
      <c r="B23" s="255">
        <f>'9'!I23</f>
        <v>0</v>
      </c>
      <c r="C23" s="262"/>
      <c r="D23" s="257">
        <f t="shared" si="4"/>
        <v>0</v>
      </c>
      <c r="E23" s="263"/>
      <c r="F23" s="264"/>
      <c r="G23" s="260">
        <f>'9'!H23</f>
        <v>0</v>
      </c>
      <c r="H23" s="261">
        <f t="shared" si="2"/>
        <v>0</v>
      </c>
      <c r="I23" s="273">
        <f t="shared" si="3"/>
        <v>0</v>
      </c>
      <c r="J23" s="274" t="e">
        <f t="shared" si="1"/>
        <v>#DIV/0!</v>
      </c>
      <c r="K23" s="862"/>
      <c r="L23" s="863"/>
    </row>
    <row r="24" spans="1:12" ht="152.25" hidden="1" customHeight="1">
      <c r="A24" s="197"/>
      <c r="B24" s="255">
        <f>'9'!I24</f>
        <v>0</v>
      </c>
      <c r="C24" s="262"/>
      <c r="D24" s="257">
        <f t="shared" si="4"/>
        <v>0</v>
      </c>
      <c r="E24" s="263"/>
      <c r="F24" s="264"/>
      <c r="G24" s="260">
        <f>'9'!H24</f>
        <v>0</v>
      </c>
      <c r="H24" s="261">
        <f t="shared" si="2"/>
        <v>0</v>
      </c>
      <c r="I24" s="273">
        <f t="shared" si="3"/>
        <v>0</v>
      </c>
      <c r="J24" s="274" t="e">
        <f t="shared" si="1"/>
        <v>#DIV/0!</v>
      </c>
      <c r="K24" s="862"/>
      <c r="L24" s="863"/>
    </row>
    <row r="25" spans="1:12" ht="152.25" hidden="1" customHeight="1">
      <c r="A25" s="197"/>
      <c r="B25" s="255">
        <f>'9'!I25</f>
        <v>0</v>
      </c>
      <c r="C25" s="262"/>
      <c r="D25" s="257">
        <f t="shared" si="4"/>
        <v>0</v>
      </c>
      <c r="E25" s="263"/>
      <c r="F25" s="264"/>
      <c r="G25" s="260">
        <f>'9'!H25</f>
        <v>0</v>
      </c>
      <c r="H25" s="261">
        <f t="shared" si="2"/>
        <v>0</v>
      </c>
      <c r="I25" s="273">
        <f t="shared" si="3"/>
        <v>0</v>
      </c>
      <c r="J25" s="274" t="e">
        <f t="shared" si="1"/>
        <v>#DIV/0!</v>
      </c>
      <c r="K25" s="862"/>
      <c r="L25" s="863"/>
    </row>
    <row r="26" spans="1:12" ht="152.25" hidden="1" customHeight="1">
      <c r="A26" s="197"/>
      <c r="B26" s="255">
        <f>'9'!I26</f>
        <v>0</v>
      </c>
      <c r="C26" s="265"/>
      <c r="D26" s="266">
        <f t="shared" si="4"/>
        <v>0</v>
      </c>
      <c r="E26" s="267"/>
      <c r="F26" s="268"/>
      <c r="G26" s="260">
        <f>'9'!H26</f>
        <v>0</v>
      </c>
      <c r="H26" s="269">
        <f t="shared" si="2"/>
        <v>0</v>
      </c>
      <c r="I26" s="275">
        <f t="shared" si="3"/>
        <v>0</v>
      </c>
      <c r="J26" s="276" t="e">
        <f t="shared" si="1"/>
        <v>#DIV/0!</v>
      </c>
      <c r="K26" s="862"/>
      <c r="L26" s="863"/>
    </row>
    <row r="27" spans="1:12" ht="152.25" hidden="1" customHeight="1">
      <c r="A27" s="198"/>
      <c r="B27" s="255">
        <f>'9'!I27</f>
        <v>0</v>
      </c>
      <c r="C27" s="270"/>
      <c r="D27" s="266">
        <f t="shared" si="4"/>
        <v>0</v>
      </c>
      <c r="E27" s="270"/>
      <c r="F27" s="268"/>
      <c r="G27" s="260">
        <f>'9'!H27</f>
        <v>0</v>
      </c>
      <c r="H27" s="269">
        <f t="shared" si="2"/>
        <v>0</v>
      </c>
      <c r="I27" s="275">
        <f t="shared" si="3"/>
        <v>0</v>
      </c>
      <c r="J27" s="277" t="e">
        <f t="shared" si="1"/>
        <v>#DIV/0!</v>
      </c>
      <c r="K27" s="214"/>
      <c r="L27" s="215"/>
    </row>
    <row r="28" spans="1:12" ht="152.25" customHeight="1" thickBot="1">
      <c r="A28" s="199" t="s">
        <v>114</v>
      </c>
      <c r="B28" s="41"/>
      <c r="C28" s="40">
        <f>SUM(C6:C27)</f>
        <v>350</v>
      </c>
      <c r="D28" s="40">
        <f t="shared" ref="D28:F28" si="5">SUM(D6:D27)</f>
        <v>1106</v>
      </c>
      <c r="E28" s="40">
        <f t="shared" si="5"/>
        <v>247</v>
      </c>
      <c r="F28" s="40">
        <f t="shared" si="5"/>
        <v>39.5</v>
      </c>
      <c r="G28" s="883"/>
      <c r="H28" s="884"/>
      <c r="I28" s="40">
        <f t="shared" ref="I28" si="6">SUM(I6:I27)</f>
        <v>859</v>
      </c>
      <c r="J28" s="244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00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'9'!G31</f>
        <v>610</v>
      </c>
      <c r="C31" s="154">
        <v>0</v>
      </c>
      <c r="D31" s="17">
        <f>SUM(B31:C31)</f>
        <v>610</v>
      </c>
      <c r="E31" s="155">
        <f>C28</f>
        <v>350</v>
      </c>
      <c r="F31" s="17">
        <f>E28</f>
        <v>247</v>
      </c>
      <c r="G31" s="156">
        <f>D31-E31</f>
        <v>260</v>
      </c>
      <c r="H31" s="900"/>
      <c r="I31" s="901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111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27.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27.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48.5" customHeight="1">
      <c r="A36" s="205" t="s">
        <v>139</v>
      </c>
      <c r="B36" s="158">
        <f>'9'!F36</f>
        <v>87</v>
      </c>
      <c r="C36" s="159"/>
      <c r="D36" s="160">
        <f>SUM(B36:C36)</f>
        <v>87</v>
      </c>
      <c r="E36" s="161"/>
      <c r="F36" s="160">
        <f>D36-E36</f>
        <v>87</v>
      </c>
      <c r="G36" s="295"/>
      <c r="H36" s="59"/>
      <c r="I36" s="59"/>
    </row>
    <row r="37" spans="1:10" ht="162" customHeight="1">
      <c r="A37" s="206" t="s">
        <v>140</v>
      </c>
      <c r="B37" s="158">
        <f>'9'!F37</f>
        <v>295</v>
      </c>
      <c r="C37" s="159"/>
      <c r="D37" s="162">
        <f t="shared" ref="D37:D47" si="7">SUM(B37:C37)</f>
        <v>295</v>
      </c>
      <c r="E37" s="161"/>
      <c r="F37" s="162">
        <f t="shared" ref="F37:F47" si="8">D37-E37</f>
        <v>295</v>
      </c>
      <c r="G37" s="292"/>
      <c r="H37" s="59"/>
      <c r="I37" s="59"/>
    </row>
    <row r="38" spans="1:10" ht="127.5" customHeight="1">
      <c r="A38" s="206" t="s">
        <v>141</v>
      </c>
      <c r="B38" s="158">
        <f>'9'!F38</f>
        <v>255</v>
      </c>
      <c r="C38" s="159"/>
      <c r="D38" s="162">
        <f t="shared" si="7"/>
        <v>255</v>
      </c>
      <c r="E38" s="161"/>
      <c r="F38" s="162">
        <f t="shared" si="8"/>
        <v>255</v>
      </c>
      <c r="G38" s="73"/>
      <c r="H38" s="74"/>
      <c r="I38" s="74"/>
    </row>
    <row r="39" spans="1:10" ht="127.5" customHeight="1">
      <c r="A39" s="206" t="s">
        <v>142</v>
      </c>
      <c r="B39" s="158">
        <f>'9'!F39</f>
        <v>43</v>
      </c>
      <c r="C39" s="159"/>
      <c r="D39" s="162">
        <f t="shared" si="7"/>
        <v>43</v>
      </c>
      <c r="E39" s="161"/>
      <c r="F39" s="162">
        <f t="shared" si="8"/>
        <v>43</v>
      </c>
      <c r="G39" s="190"/>
      <c r="H39" s="59"/>
      <c r="I39" s="59"/>
    </row>
    <row r="40" spans="1:10" ht="127.5" customHeight="1">
      <c r="A40" s="206" t="s">
        <v>143</v>
      </c>
      <c r="B40" s="158">
        <f>'9'!F40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27.5" customHeight="1">
      <c r="A41" s="206" t="s">
        <v>144</v>
      </c>
      <c r="B41" s="158">
        <f>'9'!F41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27.5" customHeight="1">
      <c r="A42" s="206" t="s">
        <v>145</v>
      </c>
      <c r="B42" s="158">
        <f>'9'!F42</f>
        <v>125</v>
      </c>
      <c r="C42" s="159"/>
      <c r="D42" s="162">
        <f t="shared" si="7"/>
        <v>125</v>
      </c>
      <c r="E42" s="161">
        <v>50</v>
      </c>
      <c r="F42" s="162">
        <f t="shared" si="8"/>
        <v>75</v>
      </c>
      <c r="G42" s="189" t="s">
        <v>224</v>
      </c>
      <c r="H42" s="59"/>
      <c r="I42" s="59"/>
    </row>
    <row r="43" spans="1:10" ht="127.5" customHeight="1">
      <c r="A43" s="206" t="s">
        <v>86</v>
      </c>
      <c r="B43" s="158">
        <f>'9'!F43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208"/>
      <c r="H43" s="76"/>
      <c r="I43" s="59"/>
      <c r="J43" s="124"/>
    </row>
    <row r="44" spans="1:10" ht="127.5" customHeight="1">
      <c r="A44" s="206" t="s">
        <v>146</v>
      </c>
      <c r="B44" s="158">
        <f>'9'!F44</f>
        <v>15</v>
      </c>
      <c r="C44" s="159"/>
      <c r="D44" s="162">
        <f t="shared" si="7"/>
        <v>15</v>
      </c>
      <c r="E44" s="161"/>
      <c r="F44" s="162">
        <f t="shared" si="8"/>
        <v>15</v>
      </c>
      <c r="G44" s="664"/>
      <c r="H44" s="74"/>
      <c r="I44" s="74"/>
    </row>
    <row r="45" spans="1:10" ht="127.5" customHeight="1">
      <c r="A45" s="206" t="s">
        <v>147</v>
      </c>
      <c r="B45" s="158">
        <f>'9'!F45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27.5" customHeight="1">
      <c r="A46" s="210" t="s">
        <v>148</v>
      </c>
      <c r="B46" s="158">
        <f>'9'!F46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79"/>
      <c r="H46" s="57"/>
      <c r="I46" s="76"/>
    </row>
    <row r="47" spans="1:10" ht="100.5" customHeight="1">
      <c r="A47" s="212" t="s">
        <v>92</v>
      </c>
      <c r="B47" s="158">
        <f>'9'!F47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278"/>
      <c r="H47" s="57"/>
      <c r="I47" s="59"/>
    </row>
    <row r="48" spans="1:10" ht="96.75" customHeight="1">
      <c r="A48" s="83"/>
      <c r="B48" s="84"/>
      <c r="C48" s="84"/>
      <c r="D48" s="84"/>
      <c r="E48" s="213"/>
      <c r="F48" s="85"/>
      <c r="G48" s="86"/>
      <c r="H48" s="57"/>
      <c r="I48" s="110"/>
      <c r="J48" s="57"/>
    </row>
    <row r="49" spans="1:11" ht="96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96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96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85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0866141732283472" right="0.70866141732283472" top="0.74803149606299213" bottom="0.74803149606299213" header="0.31496062992125984" footer="0.31496062992125984"/>
  <pageSetup scale="1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3"/>
  <sheetViews>
    <sheetView topLeftCell="A28" zoomScale="25" zoomScaleNormal="25" zoomScaleSheetLayoutView="24" workbookViewId="0">
      <selection activeCell="C8" sqref="C8"/>
    </sheetView>
  </sheetViews>
  <sheetFormatPr defaultColWidth="9" defaultRowHeight="33.75"/>
  <cols>
    <col min="1" max="1" width="85.140625" style="3" customWidth="1"/>
    <col min="2" max="2" width="46.28515625" style="3" customWidth="1"/>
    <col min="3" max="5" width="48" style="3" customWidth="1"/>
    <col min="6" max="6" width="58.28515625" style="3" customWidth="1"/>
    <col min="7" max="7" width="64.5703125" style="3" customWidth="1"/>
    <col min="8" max="8" width="57.140625" style="3" customWidth="1"/>
    <col min="9" max="10" width="48" style="3" customWidth="1"/>
    <col min="11" max="11" width="66.140625" style="3" customWidth="1"/>
    <col min="12" max="12" width="48" style="3" hidden="1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177</v>
      </c>
      <c r="C2" s="893"/>
      <c r="D2" s="893"/>
      <c r="E2" s="893"/>
      <c r="F2" s="893"/>
      <c r="G2" s="252" t="s">
        <v>107</v>
      </c>
      <c r="H2" s="186">
        <v>46245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16</v>
      </c>
      <c r="D4" s="14">
        <v>1</v>
      </c>
      <c r="E4" s="14">
        <v>7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'10'!I6</f>
        <v>373</v>
      </c>
      <c r="C6" s="133">
        <v>0</v>
      </c>
      <c r="D6" s="134">
        <f t="shared" ref="D6:D15" si="0">B6+C6</f>
        <v>373</v>
      </c>
      <c r="E6" s="135">
        <v>135</v>
      </c>
      <c r="F6" s="136">
        <v>18</v>
      </c>
      <c r="G6" s="137">
        <f>'10'!H6</f>
        <v>25264.799999999999</v>
      </c>
      <c r="H6" s="138">
        <f>SUM(G6,F6)</f>
        <v>25282.799999999999</v>
      </c>
      <c r="I6" s="165">
        <f>D6-E6</f>
        <v>238</v>
      </c>
      <c r="J6" s="166">
        <f t="shared" ref="J6:J27" si="1">E6/F6</f>
        <v>7.5</v>
      </c>
      <c r="K6" s="910" t="s">
        <v>226</v>
      </c>
      <c r="L6" s="911"/>
    </row>
    <row r="7" spans="1:12" ht="152.25" customHeight="1" thickBot="1">
      <c r="A7" s="217" t="s">
        <v>162</v>
      </c>
      <c r="B7" s="132">
        <f>'10'!I7</f>
        <v>181</v>
      </c>
      <c r="C7" s="133">
        <v>100</v>
      </c>
      <c r="D7" s="139">
        <f t="shared" si="0"/>
        <v>281</v>
      </c>
      <c r="E7" s="135">
        <v>190</v>
      </c>
      <c r="F7" s="136">
        <v>10.5</v>
      </c>
      <c r="G7" s="137">
        <f>'10'!H7</f>
        <v>1500.5</v>
      </c>
      <c r="H7" s="134">
        <f t="shared" ref="H7:H27" si="2">SUM(G7,F7)</f>
        <v>1511</v>
      </c>
      <c r="I7" s="167">
        <f t="shared" ref="I7:I27" si="3">D7-E7</f>
        <v>91</v>
      </c>
      <c r="J7" s="168">
        <f t="shared" si="1"/>
        <v>18.095238095238095</v>
      </c>
      <c r="K7" s="910" t="s">
        <v>226</v>
      </c>
      <c r="L7" s="911"/>
    </row>
    <row r="8" spans="1:12" ht="179.25" customHeight="1" thickBot="1">
      <c r="A8" s="217" t="s">
        <v>163</v>
      </c>
      <c r="B8" s="132">
        <f>'10'!I8</f>
        <v>121</v>
      </c>
      <c r="C8" s="133">
        <v>160</v>
      </c>
      <c r="D8" s="139">
        <f t="shared" si="0"/>
        <v>281</v>
      </c>
      <c r="E8" s="135">
        <v>150</v>
      </c>
      <c r="F8" s="136">
        <v>24</v>
      </c>
      <c r="G8" s="137">
        <f>'10'!H8</f>
        <v>1349</v>
      </c>
      <c r="H8" s="134">
        <f t="shared" si="2"/>
        <v>1373</v>
      </c>
      <c r="I8" s="167">
        <f t="shared" si="3"/>
        <v>131</v>
      </c>
      <c r="J8" s="168">
        <f t="shared" si="1"/>
        <v>6.25</v>
      </c>
      <c r="K8" s="862"/>
      <c r="L8" s="863"/>
    </row>
    <row r="9" spans="1:12" ht="173.25" customHeight="1">
      <c r="A9" s="217" t="s">
        <v>164</v>
      </c>
      <c r="B9" s="132">
        <f>'10'!I9</f>
        <v>138</v>
      </c>
      <c r="C9" s="133">
        <v>0</v>
      </c>
      <c r="D9" s="139">
        <f t="shared" si="0"/>
        <v>138</v>
      </c>
      <c r="E9" s="135">
        <v>0</v>
      </c>
      <c r="F9" s="136">
        <v>0</v>
      </c>
      <c r="G9" s="137">
        <f>'10'!H9</f>
        <v>3282</v>
      </c>
      <c r="H9" s="134">
        <f t="shared" si="2"/>
        <v>3282</v>
      </c>
      <c r="I9" s="167">
        <f t="shared" si="3"/>
        <v>138</v>
      </c>
      <c r="J9" s="168" t="e">
        <f t="shared" si="1"/>
        <v>#DIV/0!</v>
      </c>
      <c r="K9" s="862"/>
      <c r="L9" s="863"/>
    </row>
    <row r="10" spans="1:12" ht="203.25" customHeight="1">
      <c r="A10" s="217" t="s">
        <v>165</v>
      </c>
      <c r="B10" s="132">
        <f>'10'!I10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'10'!H10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88.25" customHeight="1">
      <c r="A11" s="217" t="s">
        <v>166</v>
      </c>
      <c r="B11" s="132">
        <f>'10'!I11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'10'!H11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7" t="s">
        <v>5</v>
      </c>
      <c r="B12" s="132">
        <f>'10'!I12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'10'!H12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167</v>
      </c>
      <c r="B13" s="132">
        <f>'10'!I13</f>
        <v>20</v>
      </c>
      <c r="C13" s="133">
        <v>0</v>
      </c>
      <c r="D13" s="139">
        <f t="shared" si="0"/>
        <v>20</v>
      </c>
      <c r="E13" s="135">
        <v>0</v>
      </c>
      <c r="F13" s="136">
        <v>0</v>
      </c>
      <c r="G13" s="137">
        <f>'10'!H13</f>
        <v>10</v>
      </c>
      <c r="H13" s="134">
        <f t="shared" si="2"/>
        <v>10</v>
      </c>
      <c r="I13" s="167">
        <f t="shared" si="3"/>
        <v>20</v>
      </c>
      <c r="J13" s="168" t="e">
        <f t="shared" si="1"/>
        <v>#DIV/0!</v>
      </c>
      <c r="K13" s="862"/>
      <c r="L13" s="863"/>
    </row>
    <row r="14" spans="1:12" ht="152.25" customHeight="1">
      <c r="A14" s="217" t="s">
        <v>168</v>
      </c>
      <c r="B14" s="132">
        <f>'10'!I14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'10'!H14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52.25" customHeight="1">
      <c r="A15" s="219" t="s">
        <v>169</v>
      </c>
      <c r="B15" s="132">
        <f>'10'!I15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'10'!H15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79.25" customHeight="1">
      <c r="A16" s="219" t="s">
        <v>170</v>
      </c>
      <c r="B16" s="132">
        <f>'10'!I16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'10'!H16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77" customHeight="1">
      <c r="A17" s="217" t="s">
        <v>171</v>
      </c>
      <c r="B17" s="132">
        <f>'10'!I17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'10'!H17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87" t="s">
        <v>11</v>
      </c>
      <c r="B18" s="132">
        <f>'10'!I18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'10'!H18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'10'!I19</f>
        <v>0</v>
      </c>
      <c r="C19" s="133"/>
      <c r="D19" s="139">
        <f t="shared" si="4"/>
        <v>0</v>
      </c>
      <c r="E19" s="135"/>
      <c r="F19" s="136"/>
      <c r="G19" s="137">
        <f>'10'!H19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'10'!I20</f>
        <v>0</v>
      </c>
      <c r="C20" s="133"/>
      <c r="D20" s="139">
        <f t="shared" si="4"/>
        <v>0</v>
      </c>
      <c r="E20" s="135"/>
      <c r="F20" s="136"/>
      <c r="G20" s="137">
        <f>'10'!H20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'10'!I21</f>
        <v>0</v>
      </c>
      <c r="C21" s="133"/>
      <c r="D21" s="139">
        <f t="shared" si="4"/>
        <v>0</v>
      </c>
      <c r="E21" s="135"/>
      <c r="F21" s="136"/>
      <c r="G21" s="137">
        <f>'10'!H21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'10'!I22</f>
        <v>0</v>
      </c>
      <c r="C22" s="133"/>
      <c r="D22" s="139">
        <f t="shared" si="4"/>
        <v>0</v>
      </c>
      <c r="E22" s="135"/>
      <c r="F22" s="136"/>
      <c r="G22" s="137">
        <f>'10'!H22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'10'!I23</f>
        <v>0</v>
      </c>
      <c r="C23" s="174"/>
      <c r="D23" s="139">
        <f t="shared" si="4"/>
        <v>0</v>
      </c>
      <c r="E23" s="175"/>
      <c r="F23" s="176"/>
      <c r="G23" s="137">
        <f>'10'!H23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'10'!I24</f>
        <v>0</v>
      </c>
      <c r="C24" s="174"/>
      <c r="D24" s="139">
        <f t="shared" si="4"/>
        <v>0</v>
      </c>
      <c r="E24" s="175"/>
      <c r="F24" s="176"/>
      <c r="G24" s="137">
        <f>'10'!H24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'10'!I25</f>
        <v>0</v>
      </c>
      <c r="C25" s="174"/>
      <c r="D25" s="139">
        <f t="shared" si="4"/>
        <v>0</v>
      </c>
      <c r="E25" s="175"/>
      <c r="F25" s="176"/>
      <c r="G25" s="137">
        <f>'10'!H25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862"/>
      <c r="L25" s="863"/>
    </row>
    <row r="26" spans="1:12" ht="152.25" hidden="1" customHeight="1">
      <c r="A26" s="197"/>
      <c r="B26" s="132">
        <f>'10'!I26</f>
        <v>0</v>
      </c>
      <c r="C26" s="177"/>
      <c r="D26" s="148">
        <f t="shared" si="4"/>
        <v>0</v>
      </c>
      <c r="E26" s="178"/>
      <c r="F26" s="179"/>
      <c r="G26" s="137">
        <f>'10'!H26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862"/>
      <c r="L26" s="863"/>
    </row>
    <row r="27" spans="1:12" ht="152.25" hidden="1" customHeight="1">
      <c r="A27" s="198"/>
      <c r="B27" s="132">
        <f>'10'!I27</f>
        <v>0</v>
      </c>
      <c r="C27" s="180"/>
      <c r="D27" s="148">
        <f t="shared" si="4"/>
        <v>0</v>
      </c>
      <c r="E27" s="180"/>
      <c r="F27" s="179"/>
      <c r="G27" s="137">
        <f>'10'!H27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214"/>
      <c r="L27" s="215"/>
    </row>
    <row r="28" spans="1:12" ht="152.25" customHeight="1" thickBot="1">
      <c r="A28" s="199" t="s">
        <v>114</v>
      </c>
      <c r="B28" s="41"/>
      <c r="C28" s="40">
        <f>SUM(C6:C27)</f>
        <v>260</v>
      </c>
      <c r="D28" s="40">
        <f t="shared" ref="D28:F28" si="5">SUM(D6:D27)</f>
        <v>1119</v>
      </c>
      <c r="E28" s="40">
        <f t="shared" si="5"/>
        <v>475</v>
      </c>
      <c r="F28" s="40">
        <f t="shared" si="5"/>
        <v>52.5</v>
      </c>
      <c r="G28" s="883"/>
      <c r="H28" s="884"/>
      <c r="I28" s="40">
        <f t="shared" ref="I28" si="6">SUM(I6:I27)</f>
        <v>644</v>
      </c>
      <c r="J28" s="111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03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'10'!G31</f>
        <v>260</v>
      </c>
      <c r="C31" s="154">
        <v>0</v>
      </c>
      <c r="D31" s="17">
        <f>SUM(B31:C31)</f>
        <v>260</v>
      </c>
      <c r="E31" s="155">
        <f>C28</f>
        <v>260</v>
      </c>
      <c r="F31" s="17">
        <f>E28</f>
        <v>475</v>
      </c>
      <c r="G31" s="156">
        <f>D31-E31</f>
        <v>0</v>
      </c>
      <c r="H31" s="900"/>
      <c r="I31" s="901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63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27.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27.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27.5" customHeight="1">
      <c r="A36" s="205" t="s">
        <v>139</v>
      </c>
      <c r="B36" s="158">
        <f>'10'!F36</f>
        <v>87</v>
      </c>
      <c r="C36" s="159"/>
      <c r="D36" s="160">
        <f>SUM(B36:C36)</f>
        <v>87</v>
      </c>
      <c r="E36" s="161"/>
      <c r="F36" s="160">
        <f>D36-E36</f>
        <v>87</v>
      </c>
      <c r="G36" s="69"/>
      <c r="H36" s="59"/>
      <c r="I36" s="59"/>
    </row>
    <row r="37" spans="1:10" ht="127.5" customHeight="1">
      <c r="A37" s="206" t="s">
        <v>140</v>
      </c>
      <c r="B37" s="158">
        <f>'10'!F37</f>
        <v>295</v>
      </c>
      <c r="C37" s="159"/>
      <c r="D37" s="162">
        <f t="shared" ref="D37:D47" si="7">SUM(B37:C37)</f>
        <v>295</v>
      </c>
      <c r="E37" s="161"/>
      <c r="F37" s="162">
        <f t="shared" ref="F37:F47" si="8">D37-E37</f>
        <v>295</v>
      </c>
      <c r="G37" s="72"/>
      <c r="H37" s="59"/>
      <c r="I37" s="59"/>
    </row>
    <row r="38" spans="1:10" ht="127.5" customHeight="1">
      <c r="A38" s="206" t="s">
        <v>141</v>
      </c>
      <c r="B38" s="158">
        <f>'10'!F38</f>
        <v>255</v>
      </c>
      <c r="C38" s="159"/>
      <c r="D38" s="162">
        <f t="shared" si="7"/>
        <v>255</v>
      </c>
      <c r="E38" s="161"/>
      <c r="F38" s="162">
        <f t="shared" si="8"/>
        <v>255</v>
      </c>
      <c r="G38" s="73"/>
      <c r="H38" s="74"/>
      <c r="I38" s="74"/>
    </row>
    <row r="39" spans="1:10" ht="127.5" customHeight="1">
      <c r="A39" s="206" t="s">
        <v>142</v>
      </c>
      <c r="B39" s="158">
        <f>'10'!F39</f>
        <v>43</v>
      </c>
      <c r="C39" s="159"/>
      <c r="D39" s="162">
        <f t="shared" si="7"/>
        <v>43</v>
      </c>
      <c r="E39" s="161"/>
      <c r="F39" s="162">
        <f t="shared" si="8"/>
        <v>43</v>
      </c>
      <c r="G39" s="189"/>
      <c r="H39" s="59"/>
      <c r="I39" s="59"/>
    </row>
    <row r="40" spans="1:10" ht="127.5" customHeight="1">
      <c r="A40" s="206" t="s">
        <v>143</v>
      </c>
      <c r="B40" s="158">
        <f>'10'!F40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27.5" customHeight="1">
      <c r="A41" s="206" t="s">
        <v>144</v>
      </c>
      <c r="B41" s="158">
        <f>'10'!F41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27.5" customHeight="1">
      <c r="A42" s="206" t="s">
        <v>145</v>
      </c>
      <c r="B42" s="158">
        <f>'10'!F42</f>
        <v>75</v>
      </c>
      <c r="C42" s="159"/>
      <c r="D42" s="162">
        <f t="shared" si="7"/>
        <v>75</v>
      </c>
      <c r="E42" s="161"/>
      <c r="F42" s="162">
        <f t="shared" si="8"/>
        <v>75</v>
      </c>
      <c r="G42" s="72"/>
      <c r="H42" s="59"/>
      <c r="I42" s="59"/>
    </row>
    <row r="43" spans="1:10" ht="127.5" customHeight="1">
      <c r="A43" s="206" t="s">
        <v>86</v>
      </c>
      <c r="B43" s="158">
        <f>'10'!F43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27.5" customHeight="1">
      <c r="A44" s="206" t="s">
        <v>146</v>
      </c>
      <c r="B44" s="158">
        <f>'10'!F44</f>
        <v>15</v>
      </c>
      <c r="C44" s="159"/>
      <c r="D44" s="162">
        <f t="shared" si="7"/>
        <v>15</v>
      </c>
      <c r="E44" s="161"/>
      <c r="F44" s="162">
        <f t="shared" si="8"/>
        <v>15</v>
      </c>
      <c r="G44" s="73"/>
      <c r="H44" s="74"/>
      <c r="I44" s="74"/>
    </row>
    <row r="45" spans="1:10" ht="127.5" customHeight="1">
      <c r="A45" s="206" t="s">
        <v>147</v>
      </c>
      <c r="B45" s="158">
        <f>'10'!F45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27.5" customHeight="1">
      <c r="A46" s="210" t="s">
        <v>148</v>
      </c>
      <c r="B46" s="158">
        <f>'10'!F46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79"/>
      <c r="H46" s="57"/>
      <c r="I46" s="76"/>
    </row>
    <row r="47" spans="1:10" ht="127.5" customHeight="1">
      <c r="A47" s="212" t="s">
        <v>92</v>
      </c>
      <c r="B47" s="158">
        <f>'10'!F47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82"/>
      <c r="H47" s="57"/>
      <c r="I47" s="59"/>
    </row>
    <row r="48" spans="1:10" ht="99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99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99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99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94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31496062992125984" right="0.31496062992125984" top="0.35433070866141736" bottom="0.35433070866141736" header="0.31496062992125984" footer="0.31496062992125984"/>
  <pageSetup scale="1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3"/>
  <sheetViews>
    <sheetView topLeftCell="A6" zoomScale="25" zoomScaleNormal="25" workbookViewId="0">
      <selection activeCell="C9" sqref="C9"/>
    </sheetView>
  </sheetViews>
  <sheetFormatPr defaultColWidth="9" defaultRowHeight="33.75"/>
  <cols>
    <col min="1" max="1" width="80.5703125" style="3" customWidth="1"/>
    <col min="2" max="2" width="60" style="3" customWidth="1"/>
    <col min="3" max="5" width="48" style="3" customWidth="1"/>
    <col min="6" max="6" width="60" style="3" customWidth="1"/>
    <col min="7" max="7" width="78.140625" style="3" customWidth="1"/>
    <col min="8" max="8" width="57.140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177</v>
      </c>
      <c r="C2" s="893"/>
      <c r="D2" s="893"/>
      <c r="E2" s="893"/>
      <c r="F2" s="893"/>
      <c r="G2" s="252" t="s">
        <v>107</v>
      </c>
      <c r="H2" s="186">
        <v>46246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183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15</v>
      </c>
      <c r="D4" s="14">
        <v>1</v>
      </c>
      <c r="E4" s="14">
        <v>8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 thickBo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'11'!I6</f>
        <v>238</v>
      </c>
      <c r="C6" s="133">
        <v>200</v>
      </c>
      <c r="D6" s="134">
        <f t="shared" ref="D6:D15" si="0">B6+C6</f>
        <v>438</v>
      </c>
      <c r="E6" s="135">
        <v>155</v>
      </c>
      <c r="F6" s="136">
        <v>20.399999999999999</v>
      </c>
      <c r="G6" s="137">
        <f>'11'!H6</f>
        <v>25282.799999999999</v>
      </c>
      <c r="H6" s="138">
        <f>SUM(G6,F6)</f>
        <v>25303.200000000001</v>
      </c>
      <c r="I6" s="165">
        <f>D6-E6</f>
        <v>283</v>
      </c>
      <c r="J6" s="166">
        <f t="shared" ref="J6:J27" si="1">E6/F6</f>
        <v>7.598039215686275</v>
      </c>
      <c r="K6" s="916" t="s">
        <v>227</v>
      </c>
      <c r="L6" s="917"/>
    </row>
    <row r="7" spans="1:12" ht="152.25" customHeight="1" thickBot="1">
      <c r="A7" s="217" t="s">
        <v>162</v>
      </c>
      <c r="B7" s="132">
        <f>'11'!I7</f>
        <v>91</v>
      </c>
      <c r="C7" s="133">
        <v>150</v>
      </c>
      <c r="D7" s="139">
        <f t="shared" si="0"/>
        <v>241</v>
      </c>
      <c r="E7" s="135">
        <v>37</v>
      </c>
      <c r="F7" s="136">
        <v>2</v>
      </c>
      <c r="G7" s="137">
        <f>'11'!H7</f>
        <v>1511</v>
      </c>
      <c r="H7" s="134">
        <f t="shared" ref="H7:H27" si="2">SUM(G7,F7)</f>
        <v>1513</v>
      </c>
      <c r="I7" s="167">
        <f t="shared" ref="I7:I27" si="3">D7-E7</f>
        <v>204</v>
      </c>
      <c r="J7" s="168">
        <f t="shared" si="1"/>
        <v>18.5</v>
      </c>
      <c r="K7" s="916" t="s">
        <v>227</v>
      </c>
      <c r="L7" s="917"/>
    </row>
    <row r="8" spans="1:12" ht="231.75" customHeight="1" thickBot="1">
      <c r="A8" s="217" t="s">
        <v>163</v>
      </c>
      <c r="B8" s="132">
        <f>'11'!I8</f>
        <v>131</v>
      </c>
      <c r="C8" s="133">
        <v>0</v>
      </c>
      <c r="D8" s="139">
        <f t="shared" si="0"/>
        <v>131</v>
      </c>
      <c r="E8" s="135">
        <v>0</v>
      </c>
      <c r="F8" s="136">
        <v>0</v>
      </c>
      <c r="G8" s="137">
        <f>'11'!H8</f>
        <v>1373</v>
      </c>
      <c r="H8" s="134">
        <f t="shared" si="2"/>
        <v>1373</v>
      </c>
      <c r="I8" s="167">
        <f t="shared" si="3"/>
        <v>131</v>
      </c>
      <c r="J8" s="168" t="e">
        <f t="shared" si="1"/>
        <v>#DIV/0!</v>
      </c>
      <c r="K8" s="918"/>
      <c r="L8" s="919"/>
    </row>
    <row r="9" spans="1:12" ht="200.25" customHeight="1">
      <c r="A9" s="217" t="s">
        <v>164</v>
      </c>
      <c r="B9" s="132">
        <f>'11'!I9</f>
        <v>138</v>
      </c>
      <c r="C9" s="133">
        <v>110</v>
      </c>
      <c r="D9" s="139">
        <f t="shared" si="0"/>
        <v>248</v>
      </c>
      <c r="E9" s="135">
        <v>148</v>
      </c>
      <c r="F9" s="136">
        <v>24</v>
      </c>
      <c r="G9" s="137">
        <f>'11'!H9</f>
        <v>3282</v>
      </c>
      <c r="H9" s="134">
        <f t="shared" si="2"/>
        <v>3306</v>
      </c>
      <c r="I9" s="167">
        <f t="shared" si="3"/>
        <v>100</v>
      </c>
      <c r="J9" s="168">
        <f t="shared" si="1"/>
        <v>6.166666666666667</v>
      </c>
      <c r="K9" s="918"/>
      <c r="L9" s="919"/>
    </row>
    <row r="10" spans="1:12" ht="184.5">
      <c r="A10" s="217" t="s">
        <v>165</v>
      </c>
      <c r="B10" s="132">
        <f>'11'!I10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'11'!H10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84.5">
      <c r="A11" s="217" t="s">
        <v>166</v>
      </c>
      <c r="B11" s="132">
        <f>'11'!I11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'11'!H11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918"/>
      <c r="L11" s="919"/>
    </row>
    <row r="12" spans="1:12" ht="184.5">
      <c r="A12" s="217" t="s">
        <v>5</v>
      </c>
      <c r="B12" s="132">
        <f>'11'!I12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'11'!H12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918"/>
      <c r="L12" s="919"/>
    </row>
    <row r="13" spans="1:12" ht="152.25" customHeight="1">
      <c r="A13" s="217" t="s">
        <v>167</v>
      </c>
      <c r="B13" s="132">
        <f>'11'!I13</f>
        <v>20</v>
      </c>
      <c r="C13" s="133">
        <v>0</v>
      </c>
      <c r="D13" s="139">
        <f t="shared" si="0"/>
        <v>20</v>
      </c>
      <c r="E13" s="135">
        <v>0</v>
      </c>
      <c r="F13" s="136">
        <v>0</v>
      </c>
      <c r="G13" s="137">
        <f>'11'!H13</f>
        <v>10</v>
      </c>
      <c r="H13" s="134">
        <f t="shared" si="2"/>
        <v>10</v>
      </c>
      <c r="I13" s="167">
        <f t="shared" si="3"/>
        <v>20</v>
      </c>
      <c r="J13" s="168" t="e">
        <f t="shared" si="1"/>
        <v>#DIV/0!</v>
      </c>
      <c r="K13" s="918"/>
      <c r="L13" s="919"/>
    </row>
    <row r="14" spans="1:12" ht="170.25" customHeight="1">
      <c r="A14" s="217" t="s">
        <v>168</v>
      </c>
      <c r="B14" s="132">
        <f>'11'!I14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'11'!H14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918"/>
      <c r="L14" s="919"/>
    </row>
    <row r="15" spans="1:12" ht="215.25" customHeight="1">
      <c r="A15" s="217" t="s">
        <v>169</v>
      </c>
      <c r="B15" s="132">
        <f>'11'!I15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'11'!H15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918"/>
      <c r="L15" s="919"/>
    </row>
    <row r="16" spans="1:12" ht="242.25" customHeight="1">
      <c r="A16" s="217" t="s">
        <v>170</v>
      </c>
      <c r="B16" s="132">
        <f>'11'!I16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'11'!H16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918"/>
      <c r="L16" s="919"/>
    </row>
    <row r="17" spans="1:12" ht="182.25" customHeight="1">
      <c r="A17" s="217" t="s">
        <v>171</v>
      </c>
      <c r="B17" s="132">
        <f>'11'!I17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'11'!H17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918"/>
      <c r="L17" s="919"/>
    </row>
    <row r="18" spans="1:12" ht="152.25" customHeight="1" thickBot="1">
      <c r="A18" s="287" t="s">
        <v>11</v>
      </c>
      <c r="B18" s="132">
        <f>'11'!I18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'11'!H18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918"/>
      <c r="L18" s="919"/>
    </row>
    <row r="19" spans="1:12" ht="152.25" hidden="1" customHeight="1">
      <c r="A19" s="197"/>
      <c r="B19" s="132">
        <f>'11'!I19</f>
        <v>0</v>
      </c>
      <c r="C19" s="133"/>
      <c r="D19" s="139">
        <f t="shared" si="4"/>
        <v>0</v>
      </c>
      <c r="E19" s="135"/>
      <c r="F19" s="136"/>
      <c r="G19" s="137">
        <f>'11'!H19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918"/>
      <c r="L19" s="919"/>
    </row>
    <row r="20" spans="1:12" ht="152.25" hidden="1" customHeight="1">
      <c r="A20" s="197"/>
      <c r="B20" s="132">
        <f>'11'!I20</f>
        <v>0</v>
      </c>
      <c r="C20" s="133"/>
      <c r="D20" s="139">
        <f t="shared" si="4"/>
        <v>0</v>
      </c>
      <c r="E20" s="135"/>
      <c r="F20" s="136"/>
      <c r="G20" s="137">
        <f>'11'!H20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918"/>
      <c r="L20" s="919"/>
    </row>
    <row r="21" spans="1:12" ht="152.25" hidden="1" customHeight="1">
      <c r="A21" s="197"/>
      <c r="B21" s="132">
        <f>'11'!I21</f>
        <v>0</v>
      </c>
      <c r="C21" s="133"/>
      <c r="D21" s="139">
        <f t="shared" si="4"/>
        <v>0</v>
      </c>
      <c r="E21" s="135"/>
      <c r="F21" s="136"/>
      <c r="G21" s="137">
        <f>'11'!H21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918"/>
      <c r="L21" s="919"/>
    </row>
    <row r="22" spans="1:12" ht="152.25" hidden="1" customHeight="1">
      <c r="A22" s="197"/>
      <c r="B22" s="132">
        <f>'11'!I22</f>
        <v>0</v>
      </c>
      <c r="C22" s="133"/>
      <c r="D22" s="139">
        <f t="shared" si="4"/>
        <v>0</v>
      </c>
      <c r="E22" s="135"/>
      <c r="F22" s="136"/>
      <c r="G22" s="137">
        <f>'11'!H22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918"/>
      <c r="L22" s="919"/>
    </row>
    <row r="23" spans="1:12" ht="152.25" hidden="1" customHeight="1">
      <c r="A23" s="197"/>
      <c r="B23" s="132">
        <f>'11'!I23</f>
        <v>0</v>
      </c>
      <c r="C23" s="174"/>
      <c r="D23" s="139">
        <f t="shared" si="4"/>
        <v>0</v>
      </c>
      <c r="E23" s="175"/>
      <c r="F23" s="176"/>
      <c r="G23" s="137">
        <f>'11'!H23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918"/>
      <c r="L23" s="919"/>
    </row>
    <row r="24" spans="1:12" ht="152.25" hidden="1" customHeight="1">
      <c r="A24" s="197"/>
      <c r="B24" s="132">
        <f>'11'!I24</f>
        <v>0</v>
      </c>
      <c r="C24" s="174"/>
      <c r="D24" s="139">
        <f t="shared" si="4"/>
        <v>0</v>
      </c>
      <c r="E24" s="175"/>
      <c r="F24" s="176"/>
      <c r="G24" s="137">
        <f>'11'!H24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918"/>
      <c r="L24" s="919"/>
    </row>
    <row r="25" spans="1:12" ht="152.25" hidden="1" customHeight="1">
      <c r="A25" s="197"/>
      <c r="B25" s="132">
        <f>'11'!I25</f>
        <v>0</v>
      </c>
      <c r="C25" s="174"/>
      <c r="D25" s="139">
        <f t="shared" si="4"/>
        <v>0</v>
      </c>
      <c r="E25" s="175"/>
      <c r="F25" s="176"/>
      <c r="G25" s="137">
        <f>'11'!H25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918"/>
      <c r="L25" s="919"/>
    </row>
    <row r="26" spans="1:12" ht="152.25" hidden="1" customHeight="1">
      <c r="A26" s="197"/>
      <c r="B26" s="132">
        <f>'11'!I26</f>
        <v>0</v>
      </c>
      <c r="C26" s="177"/>
      <c r="D26" s="148">
        <f t="shared" si="4"/>
        <v>0</v>
      </c>
      <c r="E26" s="178"/>
      <c r="F26" s="179"/>
      <c r="G26" s="137">
        <f>'11'!H26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918"/>
      <c r="L26" s="919"/>
    </row>
    <row r="27" spans="1:12" ht="152.25" hidden="1" customHeight="1">
      <c r="A27" s="198"/>
      <c r="B27" s="132">
        <f>'11'!I27</f>
        <v>0</v>
      </c>
      <c r="C27" s="180"/>
      <c r="D27" s="148">
        <f t="shared" si="4"/>
        <v>0</v>
      </c>
      <c r="E27" s="180"/>
      <c r="F27" s="179"/>
      <c r="G27" s="137">
        <f>'11'!H27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118"/>
      <c r="L27" s="119"/>
    </row>
    <row r="28" spans="1:12" ht="152.25" customHeight="1" thickBot="1">
      <c r="A28" s="199" t="s">
        <v>114</v>
      </c>
      <c r="B28" s="41"/>
      <c r="C28" s="40">
        <f>SUM(C6:C27)</f>
        <v>460</v>
      </c>
      <c r="D28" s="40">
        <f t="shared" ref="D28:F28" si="5">SUM(D6:D27)</f>
        <v>1104</v>
      </c>
      <c r="E28" s="40">
        <f t="shared" si="5"/>
        <v>340</v>
      </c>
      <c r="F28" s="40">
        <f t="shared" si="5"/>
        <v>46.4</v>
      </c>
      <c r="G28" s="883"/>
      <c r="H28" s="884"/>
      <c r="I28" s="40">
        <f t="shared" ref="I28" si="6">SUM(I6:I27)</f>
        <v>764</v>
      </c>
      <c r="J28" s="111"/>
      <c r="K28" s="920"/>
      <c r="L28" s="921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12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'11'!G31</f>
        <v>0</v>
      </c>
      <c r="C31" s="154">
        <v>800</v>
      </c>
      <c r="D31" s="17">
        <f>SUM(B31:C31)</f>
        <v>800</v>
      </c>
      <c r="E31" s="155">
        <f>C28</f>
        <v>460</v>
      </c>
      <c r="F31" s="17">
        <f>E28</f>
        <v>340</v>
      </c>
      <c r="G31" s="156">
        <f>D31-E31</f>
        <v>340</v>
      </c>
      <c r="H31" s="900"/>
      <c r="I31" s="901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79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00.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57.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23">
      <c r="A36" s="205" t="s">
        <v>139</v>
      </c>
      <c r="B36" s="158">
        <f>'11'!F36</f>
        <v>87</v>
      </c>
      <c r="C36" s="159"/>
      <c r="D36" s="160">
        <f>SUM(B36:C36)</f>
        <v>87</v>
      </c>
      <c r="E36" s="161"/>
      <c r="F36" s="160">
        <f>D36-E36</f>
        <v>87</v>
      </c>
      <c r="G36" s="69"/>
      <c r="H36" s="59"/>
      <c r="I36" s="59"/>
    </row>
    <row r="37" spans="1:10" ht="100.5" customHeight="1">
      <c r="A37" s="206" t="s">
        <v>140</v>
      </c>
      <c r="B37" s="158">
        <f>'11'!F37</f>
        <v>295</v>
      </c>
      <c r="C37" s="159"/>
      <c r="D37" s="162">
        <f t="shared" ref="D37:D47" si="7">SUM(B37:C37)</f>
        <v>295</v>
      </c>
      <c r="E37" s="161"/>
      <c r="F37" s="162">
        <f t="shared" ref="F37:F47" si="8">D37-E37</f>
        <v>295</v>
      </c>
      <c r="G37" s="190"/>
      <c r="H37" s="59"/>
      <c r="I37" s="59"/>
    </row>
    <row r="38" spans="1:10" ht="100.5" customHeight="1">
      <c r="A38" s="206" t="s">
        <v>141</v>
      </c>
      <c r="B38" s="158">
        <f>'11'!F38</f>
        <v>255</v>
      </c>
      <c r="C38" s="159"/>
      <c r="D38" s="162">
        <f t="shared" si="7"/>
        <v>255</v>
      </c>
      <c r="E38" s="161"/>
      <c r="F38" s="162">
        <f t="shared" si="8"/>
        <v>255</v>
      </c>
      <c r="G38" s="73"/>
      <c r="H38" s="74"/>
      <c r="I38" s="74"/>
    </row>
    <row r="39" spans="1:10" ht="123">
      <c r="A39" s="206" t="s">
        <v>142</v>
      </c>
      <c r="B39" s="158">
        <f>'11'!F39</f>
        <v>43</v>
      </c>
      <c r="C39" s="159"/>
      <c r="D39" s="162">
        <f t="shared" si="7"/>
        <v>43</v>
      </c>
      <c r="E39" s="161"/>
      <c r="F39" s="162">
        <f t="shared" si="8"/>
        <v>43</v>
      </c>
      <c r="G39" s="189"/>
      <c r="H39" s="59"/>
      <c r="I39" s="59"/>
    </row>
    <row r="40" spans="1:10" ht="100.5" customHeight="1">
      <c r="A40" s="206" t="s">
        <v>143</v>
      </c>
      <c r="B40" s="158">
        <f>'11'!F40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190"/>
      <c r="H40" s="59"/>
      <c r="I40" s="59"/>
    </row>
    <row r="41" spans="1:10" ht="100.5" customHeight="1">
      <c r="A41" s="206" t="s">
        <v>144</v>
      </c>
      <c r="B41" s="158">
        <f>'11'!F41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00.5" customHeight="1">
      <c r="A42" s="206" t="s">
        <v>145</v>
      </c>
      <c r="B42" s="158">
        <f>'11'!F42</f>
        <v>75</v>
      </c>
      <c r="C42" s="159"/>
      <c r="D42" s="162">
        <f t="shared" si="7"/>
        <v>75</v>
      </c>
      <c r="E42" s="161"/>
      <c r="F42" s="162">
        <f t="shared" si="8"/>
        <v>75</v>
      </c>
      <c r="G42" s="72"/>
      <c r="H42" s="59"/>
      <c r="I42" s="59"/>
    </row>
    <row r="43" spans="1:10" ht="100.5" customHeight="1">
      <c r="A43" s="206" t="s">
        <v>86</v>
      </c>
      <c r="B43" s="158">
        <f>'11'!F43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00.5" customHeight="1">
      <c r="A44" s="206" t="s">
        <v>146</v>
      </c>
      <c r="B44" s="158">
        <f>'11'!F44</f>
        <v>15</v>
      </c>
      <c r="C44" s="159"/>
      <c r="D44" s="162">
        <f t="shared" si="7"/>
        <v>15</v>
      </c>
      <c r="E44" s="161"/>
      <c r="F44" s="162">
        <f t="shared" si="8"/>
        <v>15</v>
      </c>
      <c r="G44" s="708"/>
      <c r="H44" s="74"/>
      <c r="I44" s="74"/>
    </row>
    <row r="45" spans="1:10" ht="100.5" customHeight="1">
      <c r="A45" s="206" t="s">
        <v>147</v>
      </c>
      <c r="B45" s="158">
        <f>'11'!F45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00.5" customHeight="1">
      <c r="A46" s="210" t="s">
        <v>148</v>
      </c>
      <c r="B46" s="158">
        <f>'11'!F46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79"/>
      <c r="H46" s="57"/>
      <c r="I46" s="76"/>
    </row>
    <row r="47" spans="1:10" ht="82.5" customHeight="1">
      <c r="A47" s="212" t="s">
        <v>92</v>
      </c>
      <c r="B47" s="158">
        <f>'11'!F47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97.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15.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97.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97.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79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51181102362204722" right="0.51181102362204722" top="0.55118110236220474" bottom="0.55118110236220474" header="0.31496062992125984" footer="0.31496062992125984"/>
  <pageSetup scale="1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3"/>
  <sheetViews>
    <sheetView topLeftCell="A10" zoomScale="25" zoomScaleNormal="25" workbookViewId="0">
      <selection activeCell="C6" sqref="C6"/>
    </sheetView>
  </sheetViews>
  <sheetFormatPr defaultColWidth="9" defaultRowHeight="33.75"/>
  <cols>
    <col min="1" max="1" width="81.140625" style="3" customWidth="1"/>
    <col min="2" max="2" width="62.42578125" style="3" customWidth="1"/>
    <col min="3" max="4" width="48" style="3" customWidth="1"/>
    <col min="5" max="5" width="44" style="3" customWidth="1"/>
    <col min="6" max="6" width="57.140625" style="3" customWidth="1"/>
    <col min="7" max="7" width="58.28515625" style="3" customWidth="1"/>
    <col min="8" max="8" width="57.140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178</v>
      </c>
      <c r="C2" s="893"/>
      <c r="D2" s="893"/>
      <c r="E2" s="893"/>
      <c r="F2" s="893"/>
      <c r="G2" s="252" t="s">
        <v>107</v>
      </c>
      <c r="H2" s="186">
        <v>46247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183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18.25</v>
      </c>
      <c r="D4" s="14">
        <v>1</v>
      </c>
      <c r="E4" s="14">
        <v>4.75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'12'!I6</f>
        <v>283</v>
      </c>
      <c r="C6" s="133">
        <v>280</v>
      </c>
      <c r="D6" s="134">
        <f t="shared" ref="D6:D15" si="0">B6+C6</f>
        <v>563</v>
      </c>
      <c r="E6" s="135">
        <v>180</v>
      </c>
      <c r="F6" s="136">
        <v>21.5</v>
      </c>
      <c r="G6" s="137">
        <f>'12'!H6</f>
        <v>25303.200000000001</v>
      </c>
      <c r="H6" s="138">
        <f>SUM(G6,F6)</f>
        <v>25324.7</v>
      </c>
      <c r="I6" s="165">
        <f>D6-E6</f>
        <v>383</v>
      </c>
      <c r="J6" s="166">
        <f t="shared" ref="J6:J27" si="1">E6/F6</f>
        <v>8.3720930232558146</v>
      </c>
      <c r="K6" s="904"/>
      <c r="L6" s="905"/>
    </row>
    <row r="7" spans="1:12" ht="152.25" customHeight="1" thickBot="1">
      <c r="A7" s="217" t="s">
        <v>162</v>
      </c>
      <c r="B7" s="132">
        <f>'12'!I7</f>
        <v>204</v>
      </c>
      <c r="C7" s="133">
        <v>100</v>
      </c>
      <c r="D7" s="139">
        <f t="shared" si="0"/>
        <v>304</v>
      </c>
      <c r="E7" s="135">
        <v>98</v>
      </c>
      <c r="F7" s="136">
        <v>5</v>
      </c>
      <c r="G7" s="137">
        <f>'12'!H7</f>
        <v>1513</v>
      </c>
      <c r="H7" s="134">
        <f t="shared" ref="H7:H27" si="2">SUM(G7,F7)</f>
        <v>1518</v>
      </c>
      <c r="I7" s="167">
        <f t="shared" ref="I7:I27" si="3">D7-E7</f>
        <v>206</v>
      </c>
      <c r="J7" s="168">
        <f t="shared" si="1"/>
        <v>19.600000000000001</v>
      </c>
      <c r="K7" s="904"/>
      <c r="L7" s="905"/>
    </row>
    <row r="8" spans="1:12" ht="194.25" customHeight="1" thickBot="1">
      <c r="A8" s="217" t="s">
        <v>163</v>
      </c>
      <c r="B8" s="132">
        <f>'12'!I8</f>
        <v>131</v>
      </c>
      <c r="C8" s="133">
        <v>170</v>
      </c>
      <c r="D8" s="139">
        <f t="shared" si="0"/>
        <v>301</v>
      </c>
      <c r="E8" s="135">
        <v>143</v>
      </c>
      <c r="F8" s="136">
        <v>24</v>
      </c>
      <c r="G8" s="137">
        <f>'12'!H8</f>
        <v>1373</v>
      </c>
      <c r="H8" s="134">
        <f t="shared" si="2"/>
        <v>1397</v>
      </c>
      <c r="I8" s="167">
        <f t="shared" si="3"/>
        <v>158</v>
      </c>
      <c r="J8" s="168">
        <f t="shared" si="1"/>
        <v>5.958333333333333</v>
      </c>
      <c r="K8" s="862"/>
      <c r="L8" s="863"/>
    </row>
    <row r="9" spans="1:12" ht="173.25" customHeight="1">
      <c r="A9" s="217" t="s">
        <v>164</v>
      </c>
      <c r="B9" s="132">
        <f>'12'!I9</f>
        <v>100</v>
      </c>
      <c r="C9" s="133">
        <v>0</v>
      </c>
      <c r="D9" s="139">
        <f t="shared" si="0"/>
        <v>100</v>
      </c>
      <c r="E9" s="135">
        <v>0</v>
      </c>
      <c r="F9" s="136">
        <v>0</v>
      </c>
      <c r="G9" s="137">
        <f>'12'!H9</f>
        <v>3306</v>
      </c>
      <c r="H9" s="134">
        <f t="shared" si="2"/>
        <v>3306</v>
      </c>
      <c r="I9" s="167">
        <f t="shared" si="3"/>
        <v>100</v>
      </c>
      <c r="J9" s="168" t="e">
        <f t="shared" si="1"/>
        <v>#DIV/0!</v>
      </c>
      <c r="K9" s="862"/>
      <c r="L9" s="863"/>
    </row>
    <row r="10" spans="1:12" ht="191.25" customHeight="1">
      <c r="A10" s="217" t="s">
        <v>165</v>
      </c>
      <c r="B10" s="132">
        <f>'12'!I10</f>
        <v>26</v>
      </c>
      <c r="C10" s="133">
        <v>0</v>
      </c>
      <c r="D10" s="139">
        <f t="shared" si="0"/>
        <v>26</v>
      </c>
      <c r="E10" s="135">
        <v>0</v>
      </c>
      <c r="F10" s="135">
        <v>0</v>
      </c>
      <c r="G10" s="137">
        <f>'12'!H10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52.25" customHeight="1">
      <c r="A11" s="217" t="s">
        <v>166</v>
      </c>
      <c r="B11" s="132">
        <f>'12'!I11</f>
        <v>0</v>
      </c>
      <c r="C11" s="133">
        <v>0</v>
      </c>
      <c r="D11" s="139">
        <f t="shared" si="0"/>
        <v>0</v>
      </c>
      <c r="E11" s="135">
        <v>0</v>
      </c>
      <c r="F11" s="135">
        <v>0</v>
      </c>
      <c r="G11" s="137">
        <f>'12'!H11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7" t="s">
        <v>5</v>
      </c>
      <c r="B12" s="132">
        <f>'12'!I12</f>
        <v>0</v>
      </c>
      <c r="C12" s="133">
        <v>0</v>
      </c>
      <c r="D12" s="139">
        <f t="shared" si="0"/>
        <v>0</v>
      </c>
      <c r="E12" s="135">
        <v>0</v>
      </c>
      <c r="F12" s="135">
        <v>0</v>
      </c>
      <c r="G12" s="137">
        <f>'12'!H12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167</v>
      </c>
      <c r="B13" s="132">
        <f>'12'!I13</f>
        <v>20</v>
      </c>
      <c r="C13" s="133">
        <v>0</v>
      </c>
      <c r="D13" s="139">
        <f t="shared" si="0"/>
        <v>20</v>
      </c>
      <c r="E13" s="135">
        <v>0</v>
      </c>
      <c r="F13" s="135">
        <v>0</v>
      </c>
      <c r="G13" s="137">
        <f>'12'!H13</f>
        <v>10</v>
      </c>
      <c r="H13" s="134">
        <f t="shared" si="2"/>
        <v>10</v>
      </c>
      <c r="I13" s="167">
        <f t="shared" si="3"/>
        <v>20</v>
      </c>
      <c r="J13" s="168" t="e">
        <f t="shared" si="1"/>
        <v>#DIV/0!</v>
      </c>
      <c r="K13" s="862"/>
      <c r="L13" s="863"/>
    </row>
    <row r="14" spans="1:12" ht="152.25" customHeight="1">
      <c r="A14" s="217" t="s">
        <v>168</v>
      </c>
      <c r="B14" s="132">
        <f>'12'!I14</f>
        <v>0</v>
      </c>
      <c r="C14" s="133">
        <v>0</v>
      </c>
      <c r="D14" s="139">
        <f t="shared" si="0"/>
        <v>0</v>
      </c>
      <c r="E14" s="135">
        <v>0</v>
      </c>
      <c r="F14" s="135">
        <v>0</v>
      </c>
      <c r="G14" s="137">
        <f>'12'!H14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52.25" customHeight="1">
      <c r="A15" s="219" t="s">
        <v>169</v>
      </c>
      <c r="B15" s="132">
        <f>'12'!I15</f>
        <v>0</v>
      </c>
      <c r="C15" s="133">
        <v>0</v>
      </c>
      <c r="D15" s="139">
        <f t="shared" si="0"/>
        <v>0</v>
      </c>
      <c r="E15" s="135">
        <v>0</v>
      </c>
      <c r="F15" s="135">
        <v>0</v>
      </c>
      <c r="G15" s="137">
        <f>'12'!H15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52.25" customHeight="1">
      <c r="A16" s="219" t="s">
        <v>170</v>
      </c>
      <c r="B16" s="132">
        <f>'12'!I16</f>
        <v>0</v>
      </c>
      <c r="C16" s="133">
        <v>0</v>
      </c>
      <c r="D16" s="139">
        <f t="shared" ref="D16:D27" si="4">C16+B16</f>
        <v>0</v>
      </c>
      <c r="E16" s="135">
        <v>0</v>
      </c>
      <c r="F16" s="135">
        <v>0</v>
      </c>
      <c r="G16" s="137">
        <f>'12'!H16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52.25" customHeight="1">
      <c r="A17" s="217" t="s">
        <v>171</v>
      </c>
      <c r="B17" s="132">
        <f>'12'!I17</f>
        <v>0</v>
      </c>
      <c r="C17" s="133">
        <v>0</v>
      </c>
      <c r="D17" s="139">
        <f t="shared" si="4"/>
        <v>0</v>
      </c>
      <c r="E17" s="135">
        <v>0</v>
      </c>
      <c r="F17" s="135">
        <v>0</v>
      </c>
      <c r="G17" s="137">
        <f>'12'!H17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87" t="s">
        <v>11</v>
      </c>
      <c r="B18" s="132">
        <f>'12'!I18</f>
        <v>0</v>
      </c>
      <c r="C18" s="133">
        <v>0</v>
      </c>
      <c r="D18" s="139">
        <f t="shared" si="4"/>
        <v>0</v>
      </c>
      <c r="E18" s="135">
        <v>0</v>
      </c>
      <c r="F18" s="135">
        <v>0</v>
      </c>
      <c r="G18" s="137">
        <f>'12'!H18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'12'!I19</f>
        <v>0</v>
      </c>
      <c r="C19" s="133"/>
      <c r="D19" s="139">
        <f t="shared" si="4"/>
        <v>0</v>
      </c>
      <c r="E19" s="135"/>
      <c r="F19" s="136"/>
      <c r="G19" s="137">
        <f>'12'!H19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'12'!I20</f>
        <v>0</v>
      </c>
      <c r="C20" s="133"/>
      <c r="D20" s="139">
        <f t="shared" si="4"/>
        <v>0</v>
      </c>
      <c r="E20" s="135"/>
      <c r="F20" s="136"/>
      <c r="G20" s="137">
        <f>'12'!H20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'12'!I21</f>
        <v>0</v>
      </c>
      <c r="C21" s="133"/>
      <c r="D21" s="139">
        <f t="shared" si="4"/>
        <v>0</v>
      </c>
      <c r="E21" s="135"/>
      <c r="F21" s="136"/>
      <c r="G21" s="137">
        <f>'12'!H21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'12'!I22</f>
        <v>0</v>
      </c>
      <c r="C22" s="133"/>
      <c r="D22" s="139">
        <f t="shared" si="4"/>
        <v>0</v>
      </c>
      <c r="E22" s="135"/>
      <c r="F22" s="136"/>
      <c r="G22" s="137">
        <f>'12'!H22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'12'!I23</f>
        <v>0</v>
      </c>
      <c r="C23" s="174"/>
      <c r="D23" s="139">
        <f t="shared" si="4"/>
        <v>0</v>
      </c>
      <c r="E23" s="175"/>
      <c r="F23" s="176"/>
      <c r="G23" s="137">
        <f>'12'!H23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'12'!I24</f>
        <v>0</v>
      </c>
      <c r="C24" s="174"/>
      <c r="D24" s="139">
        <f t="shared" si="4"/>
        <v>0</v>
      </c>
      <c r="E24" s="175"/>
      <c r="F24" s="176"/>
      <c r="G24" s="137">
        <f>'12'!H24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'12'!I25</f>
        <v>0</v>
      </c>
      <c r="C25" s="174"/>
      <c r="D25" s="139">
        <f t="shared" si="4"/>
        <v>0</v>
      </c>
      <c r="E25" s="175"/>
      <c r="F25" s="176"/>
      <c r="G25" s="137">
        <f>'12'!H25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862"/>
      <c r="L25" s="863"/>
    </row>
    <row r="26" spans="1:12" ht="152.25" hidden="1" customHeight="1">
      <c r="A26" s="197"/>
      <c r="B26" s="132">
        <f>'12'!I26</f>
        <v>0</v>
      </c>
      <c r="C26" s="177"/>
      <c r="D26" s="148">
        <f t="shared" si="4"/>
        <v>0</v>
      </c>
      <c r="E26" s="178"/>
      <c r="F26" s="179"/>
      <c r="G26" s="137">
        <f>'12'!H26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862"/>
      <c r="L26" s="863"/>
    </row>
    <row r="27" spans="1:12" ht="152.25" hidden="1" customHeight="1">
      <c r="A27" s="198"/>
      <c r="B27" s="132">
        <f>'12'!I27</f>
        <v>0</v>
      </c>
      <c r="C27" s="180"/>
      <c r="D27" s="148">
        <f t="shared" si="4"/>
        <v>0</v>
      </c>
      <c r="E27" s="180"/>
      <c r="F27" s="179"/>
      <c r="G27" s="137">
        <f>'12'!H27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214"/>
      <c r="L27" s="215"/>
    </row>
    <row r="28" spans="1:12" ht="152.25" customHeight="1" thickBot="1">
      <c r="A28" s="199" t="s">
        <v>114</v>
      </c>
      <c r="B28" s="41"/>
      <c r="C28" s="40">
        <f>SUM(C6:C27)</f>
        <v>550</v>
      </c>
      <c r="D28" s="40">
        <f t="shared" ref="D28:F28" si="5">SUM(D6:D27)</f>
        <v>1314</v>
      </c>
      <c r="E28" s="40">
        <f t="shared" si="5"/>
        <v>421</v>
      </c>
      <c r="F28" s="40">
        <f t="shared" si="5"/>
        <v>50.5</v>
      </c>
      <c r="G28" s="883"/>
      <c r="H28" s="884"/>
      <c r="I28" s="40">
        <f t="shared" ref="I28" si="6">SUM(I6:I27)</f>
        <v>893</v>
      </c>
      <c r="J28" s="111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09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'12'!G31</f>
        <v>340</v>
      </c>
      <c r="C31" s="154">
        <v>2500</v>
      </c>
      <c r="D31" s="17">
        <f>SUM(B31:C31)</f>
        <v>2840</v>
      </c>
      <c r="E31" s="155">
        <f>C28</f>
        <v>550</v>
      </c>
      <c r="F31" s="17">
        <f>E28</f>
        <v>421</v>
      </c>
      <c r="G31" s="156">
        <f>D31-E31</f>
        <v>2290</v>
      </c>
      <c r="H31" s="889"/>
      <c r="I31" s="890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891"/>
      <c r="I32" s="892"/>
      <c r="J32" s="121"/>
    </row>
    <row r="33" spans="1:10" s="1" customFormat="1" ht="91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73.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34.2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34.25" customHeight="1">
      <c r="A36" s="205" t="s">
        <v>139</v>
      </c>
      <c r="B36" s="158">
        <f>'12'!F36</f>
        <v>87</v>
      </c>
      <c r="C36" s="159"/>
      <c r="D36" s="160">
        <f>SUM(B36:C36)</f>
        <v>87</v>
      </c>
      <c r="E36" s="161"/>
      <c r="F36" s="160">
        <f>D36-E36</f>
        <v>87</v>
      </c>
      <c r="G36" s="69"/>
      <c r="H36" s="59"/>
      <c r="I36" s="59"/>
    </row>
    <row r="37" spans="1:10" ht="164.25" customHeight="1">
      <c r="A37" s="206" t="s">
        <v>140</v>
      </c>
      <c r="B37" s="158">
        <f>'12'!F37</f>
        <v>295</v>
      </c>
      <c r="C37" s="159"/>
      <c r="D37" s="162">
        <f t="shared" ref="D37:D47" si="7">SUM(B37:C37)</f>
        <v>295</v>
      </c>
      <c r="E37" s="161">
        <v>40</v>
      </c>
      <c r="F37" s="162">
        <f t="shared" ref="F37:F47" si="8">D37-E37</f>
        <v>255</v>
      </c>
      <c r="G37" s="190" t="s">
        <v>228</v>
      </c>
      <c r="H37" s="59"/>
      <c r="I37" s="59"/>
    </row>
    <row r="38" spans="1:10" ht="134.25" customHeight="1">
      <c r="A38" s="206" t="s">
        <v>141</v>
      </c>
      <c r="B38" s="158">
        <f>'12'!F38</f>
        <v>255</v>
      </c>
      <c r="C38" s="159"/>
      <c r="D38" s="162">
        <f t="shared" si="7"/>
        <v>255</v>
      </c>
      <c r="E38" s="161">
        <v>5</v>
      </c>
      <c r="F38" s="162">
        <f t="shared" si="8"/>
        <v>250</v>
      </c>
      <c r="G38" s="664" t="s">
        <v>229</v>
      </c>
      <c r="H38" s="74"/>
      <c r="I38" s="74"/>
    </row>
    <row r="39" spans="1:10" ht="134.25" customHeight="1">
      <c r="A39" s="206" t="s">
        <v>142</v>
      </c>
      <c r="B39" s="158">
        <f>'12'!F39</f>
        <v>43</v>
      </c>
      <c r="C39" s="159"/>
      <c r="D39" s="162">
        <f t="shared" si="7"/>
        <v>43</v>
      </c>
      <c r="E39" s="161"/>
      <c r="F39" s="162">
        <f t="shared" si="8"/>
        <v>43</v>
      </c>
      <c r="G39" s="190"/>
      <c r="H39" s="59"/>
      <c r="I39" s="59"/>
    </row>
    <row r="40" spans="1:10" ht="134.25" customHeight="1">
      <c r="A40" s="206" t="s">
        <v>143</v>
      </c>
      <c r="B40" s="158">
        <f>'12'!F40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34.25" customHeight="1">
      <c r="A41" s="206" t="s">
        <v>144</v>
      </c>
      <c r="B41" s="158">
        <f>'12'!F41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34.25" customHeight="1">
      <c r="A42" s="206" t="s">
        <v>145</v>
      </c>
      <c r="B42" s="158">
        <f>'12'!F42</f>
        <v>75</v>
      </c>
      <c r="C42" s="159"/>
      <c r="D42" s="162">
        <f t="shared" si="7"/>
        <v>75</v>
      </c>
      <c r="E42" s="161"/>
      <c r="F42" s="162">
        <f t="shared" si="8"/>
        <v>75</v>
      </c>
      <c r="G42" s="72"/>
      <c r="H42" s="59"/>
      <c r="I42" s="59"/>
    </row>
    <row r="43" spans="1:10" ht="134.25" customHeight="1">
      <c r="A43" s="206" t="s">
        <v>86</v>
      </c>
      <c r="B43" s="158">
        <f>'12'!F43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34.25" customHeight="1">
      <c r="A44" s="206" t="s">
        <v>146</v>
      </c>
      <c r="B44" s="158">
        <f>'12'!F44</f>
        <v>15</v>
      </c>
      <c r="C44" s="159"/>
      <c r="D44" s="162">
        <f t="shared" si="7"/>
        <v>15</v>
      </c>
      <c r="E44" s="161"/>
      <c r="F44" s="162">
        <f t="shared" si="8"/>
        <v>15</v>
      </c>
      <c r="G44" s="207"/>
      <c r="H44" s="74"/>
      <c r="I44" s="74"/>
    </row>
    <row r="45" spans="1:10" ht="134.25" customHeight="1">
      <c r="A45" s="206" t="s">
        <v>147</v>
      </c>
      <c r="B45" s="158">
        <f>'12'!F45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34.25" customHeight="1">
      <c r="A46" s="210" t="s">
        <v>148</v>
      </c>
      <c r="B46" s="158">
        <f>'12'!F46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211"/>
      <c r="H46" s="57"/>
      <c r="I46" s="76"/>
    </row>
    <row r="47" spans="1:10" ht="88.5" customHeight="1">
      <c r="A47" s="212" t="s">
        <v>92</v>
      </c>
      <c r="B47" s="158">
        <f>'12'!F47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108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08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08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08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79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51181102362204722" right="0.51181102362204722" top="0.55118110236220474" bottom="0.55118110236220474" header="0.31496062992125984" footer="0.31496062992125984"/>
  <pageSetup scale="1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53"/>
  <sheetViews>
    <sheetView topLeftCell="A4" zoomScale="25" zoomScaleNormal="25" workbookViewId="0">
      <selection activeCell="C9" sqref="C9"/>
    </sheetView>
  </sheetViews>
  <sheetFormatPr defaultColWidth="9" defaultRowHeight="33.75"/>
  <cols>
    <col min="1" max="1" width="82.85546875" style="3" customWidth="1"/>
    <col min="2" max="2" width="60" style="3" customWidth="1"/>
    <col min="3" max="6" width="48" style="3" customWidth="1"/>
    <col min="7" max="7" width="63.85546875" style="3" customWidth="1"/>
    <col min="8" max="8" width="57.140625" style="3" customWidth="1"/>
    <col min="9" max="11" width="48" style="3" customWidth="1"/>
    <col min="12" max="12" width="60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176</v>
      </c>
      <c r="C2" s="893"/>
      <c r="D2" s="893"/>
      <c r="E2" s="893"/>
      <c r="F2" s="893"/>
      <c r="G2" s="252" t="s">
        <v>107</v>
      </c>
      <c r="H2" s="186">
        <v>46248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10</v>
      </c>
      <c r="D4" s="14">
        <v>2</v>
      </c>
      <c r="E4" s="14">
        <v>12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23.75" thickBot="1">
      <c r="A6" s="217" t="s">
        <v>161</v>
      </c>
      <c r="B6" s="132">
        <f>'13'!I6</f>
        <v>383</v>
      </c>
      <c r="C6" s="133">
        <v>0</v>
      </c>
      <c r="D6" s="134">
        <f t="shared" ref="D6:D15" si="0">B6+C6</f>
        <v>383</v>
      </c>
      <c r="E6" s="135">
        <v>110</v>
      </c>
      <c r="F6" s="136">
        <v>15.4</v>
      </c>
      <c r="G6" s="137">
        <f>'13'!H6</f>
        <v>25324.7</v>
      </c>
      <c r="H6" s="138">
        <f>SUM(G6,F6)</f>
        <v>25340.100000000002</v>
      </c>
      <c r="I6" s="165">
        <f>D6-E6</f>
        <v>273</v>
      </c>
      <c r="J6" s="166">
        <f t="shared" ref="J6:J27" si="1">E6/F6</f>
        <v>7.1428571428571423</v>
      </c>
      <c r="K6" s="904"/>
      <c r="L6" s="905"/>
    </row>
    <row r="7" spans="1:12" ht="152.25" customHeight="1" thickBot="1">
      <c r="A7" s="217" t="s">
        <v>162</v>
      </c>
      <c r="B7" s="132">
        <f>'13'!I7</f>
        <v>206</v>
      </c>
      <c r="C7" s="133">
        <v>0</v>
      </c>
      <c r="D7" s="139">
        <f t="shared" si="0"/>
        <v>206</v>
      </c>
      <c r="E7" s="135">
        <v>0</v>
      </c>
      <c r="F7" s="136">
        <v>0</v>
      </c>
      <c r="G7" s="137">
        <f>'13'!H7</f>
        <v>1518</v>
      </c>
      <c r="H7" s="134">
        <f t="shared" ref="H7:H27" si="2">SUM(G7,F7)</f>
        <v>1518</v>
      </c>
      <c r="I7" s="167">
        <f t="shared" ref="I7:I27" si="3">D7-E7</f>
        <v>206</v>
      </c>
      <c r="J7" s="168" t="e">
        <f t="shared" si="1"/>
        <v>#DIV/0!</v>
      </c>
      <c r="K7" s="904"/>
      <c r="L7" s="905"/>
    </row>
    <row r="8" spans="1:12" ht="182.25" customHeight="1" thickBot="1">
      <c r="A8" s="217" t="s">
        <v>163</v>
      </c>
      <c r="B8" s="132">
        <f>'13'!I8</f>
        <v>158</v>
      </c>
      <c r="C8" s="133">
        <v>0</v>
      </c>
      <c r="D8" s="139">
        <f t="shared" si="0"/>
        <v>158</v>
      </c>
      <c r="E8" s="135">
        <v>0</v>
      </c>
      <c r="F8" s="136">
        <v>0</v>
      </c>
      <c r="G8" s="137">
        <f>'13'!H8</f>
        <v>1397</v>
      </c>
      <c r="H8" s="134">
        <f t="shared" si="2"/>
        <v>1397</v>
      </c>
      <c r="I8" s="167">
        <f t="shared" si="3"/>
        <v>158</v>
      </c>
      <c r="J8" s="168" t="e">
        <f t="shared" si="1"/>
        <v>#DIV/0!</v>
      </c>
      <c r="K8" s="862"/>
      <c r="L8" s="863"/>
    </row>
    <row r="9" spans="1:12" ht="191.25" customHeight="1">
      <c r="A9" s="217" t="s">
        <v>164</v>
      </c>
      <c r="B9" s="132">
        <f>'13'!I9</f>
        <v>100</v>
      </c>
      <c r="C9" s="133">
        <v>150</v>
      </c>
      <c r="D9" s="139">
        <f t="shared" si="0"/>
        <v>250</v>
      </c>
      <c r="E9" s="135">
        <v>143</v>
      </c>
      <c r="F9" s="136">
        <v>24</v>
      </c>
      <c r="G9" s="137">
        <f>'13'!H9</f>
        <v>3306</v>
      </c>
      <c r="H9" s="134">
        <f t="shared" si="2"/>
        <v>3330</v>
      </c>
      <c r="I9" s="167">
        <f t="shared" si="3"/>
        <v>107</v>
      </c>
      <c r="J9" s="168">
        <f t="shared" si="1"/>
        <v>5.958333333333333</v>
      </c>
      <c r="K9" s="862"/>
      <c r="L9" s="863"/>
    </row>
    <row r="10" spans="1:12" ht="152.25" customHeight="1">
      <c r="A10" s="217" t="s">
        <v>165</v>
      </c>
      <c r="B10" s="132">
        <f>'13'!I10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'13'!H10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52.25" customHeight="1">
      <c r="A11" s="217" t="s">
        <v>166</v>
      </c>
      <c r="B11" s="132">
        <f>'13'!I11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'13'!H11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7" t="s">
        <v>5</v>
      </c>
      <c r="B12" s="132">
        <f>'13'!I12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'13'!H12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167</v>
      </c>
      <c r="B13" s="132">
        <f>'13'!I13</f>
        <v>20</v>
      </c>
      <c r="C13" s="133">
        <v>0</v>
      </c>
      <c r="D13" s="139">
        <f t="shared" si="0"/>
        <v>20</v>
      </c>
      <c r="E13" s="135">
        <v>0</v>
      </c>
      <c r="F13" s="136">
        <v>0</v>
      </c>
      <c r="G13" s="137">
        <f>'13'!H13</f>
        <v>10</v>
      </c>
      <c r="H13" s="134">
        <f t="shared" si="2"/>
        <v>10</v>
      </c>
      <c r="I13" s="167">
        <f t="shared" si="3"/>
        <v>20</v>
      </c>
      <c r="J13" s="168" t="e">
        <f t="shared" si="1"/>
        <v>#DIV/0!</v>
      </c>
      <c r="K13" s="862"/>
      <c r="L13" s="863"/>
    </row>
    <row r="14" spans="1:12" ht="152.25" customHeight="1">
      <c r="A14" s="219" t="s">
        <v>168</v>
      </c>
      <c r="B14" s="132">
        <f>'13'!I14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'13'!H14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52.25" customHeight="1">
      <c r="A15" s="219" t="s">
        <v>169</v>
      </c>
      <c r="B15" s="132">
        <f>'13'!I15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'13'!H15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52.25" customHeight="1">
      <c r="A16" s="219" t="s">
        <v>170</v>
      </c>
      <c r="B16" s="132">
        <f>'13'!I16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'13'!H16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88.25" customHeight="1">
      <c r="A17" s="217" t="s">
        <v>171</v>
      </c>
      <c r="B17" s="132">
        <f>'13'!I17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'13'!H17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87" t="s">
        <v>11</v>
      </c>
      <c r="B18" s="132">
        <f>'13'!I18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'13'!H18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'13'!I19</f>
        <v>0</v>
      </c>
      <c r="C19" s="133"/>
      <c r="D19" s="139">
        <f t="shared" si="4"/>
        <v>0</v>
      </c>
      <c r="E19" s="135"/>
      <c r="F19" s="136"/>
      <c r="G19" s="137">
        <f>'13'!H19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'13'!I20</f>
        <v>0</v>
      </c>
      <c r="C20" s="133"/>
      <c r="D20" s="139">
        <f t="shared" si="4"/>
        <v>0</v>
      </c>
      <c r="E20" s="135"/>
      <c r="F20" s="136"/>
      <c r="G20" s="137">
        <f>'13'!H20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'13'!I21</f>
        <v>0</v>
      </c>
      <c r="C21" s="133"/>
      <c r="D21" s="139">
        <f t="shared" si="4"/>
        <v>0</v>
      </c>
      <c r="E21" s="135"/>
      <c r="F21" s="136"/>
      <c r="G21" s="137">
        <f>'13'!H21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'13'!I22</f>
        <v>0</v>
      </c>
      <c r="C22" s="133"/>
      <c r="D22" s="139">
        <f t="shared" si="4"/>
        <v>0</v>
      </c>
      <c r="E22" s="135"/>
      <c r="F22" s="136"/>
      <c r="G22" s="137">
        <f>'13'!H22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'13'!I23</f>
        <v>0</v>
      </c>
      <c r="C23" s="174"/>
      <c r="D23" s="139">
        <f t="shared" si="4"/>
        <v>0</v>
      </c>
      <c r="E23" s="175"/>
      <c r="F23" s="176"/>
      <c r="G23" s="137">
        <f>'13'!H23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'13'!I24</f>
        <v>0</v>
      </c>
      <c r="C24" s="174"/>
      <c r="D24" s="139">
        <f t="shared" si="4"/>
        <v>0</v>
      </c>
      <c r="E24" s="175"/>
      <c r="F24" s="176"/>
      <c r="G24" s="137">
        <f>'13'!H24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'13'!I25</f>
        <v>0</v>
      </c>
      <c r="C25" s="174"/>
      <c r="D25" s="139">
        <f t="shared" si="4"/>
        <v>0</v>
      </c>
      <c r="E25" s="175"/>
      <c r="F25" s="176"/>
      <c r="G25" s="137">
        <f>'13'!H25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862"/>
      <c r="L25" s="863"/>
    </row>
    <row r="26" spans="1:12" ht="152.25" hidden="1" customHeight="1">
      <c r="A26" s="197"/>
      <c r="B26" s="132">
        <f>'13'!I26</f>
        <v>0</v>
      </c>
      <c r="C26" s="177"/>
      <c r="D26" s="148">
        <f t="shared" si="4"/>
        <v>0</v>
      </c>
      <c r="E26" s="178"/>
      <c r="F26" s="179"/>
      <c r="G26" s="137">
        <f>'13'!H26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862"/>
      <c r="L26" s="863"/>
    </row>
    <row r="27" spans="1:12" ht="152.25" hidden="1" customHeight="1">
      <c r="A27" s="198"/>
      <c r="B27" s="132">
        <f>'13'!I27</f>
        <v>0</v>
      </c>
      <c r="C27" s="180"/>
      <c r="D27" s="148">
        <f t="shared" si="4"/>
        <v>0</v>
      </c>
      <c r="E27" s="180"/>
      <c r="F27" s="179"/>
      <c r="G27" s="137">
        <f>'13'!H27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214"/>
      <c r="L27" s="215"/>
    </row>
    <row r="28" spans="1:12" ht="152.25" customHeight="1" thickBot="1">
      <c r="A28" s="199" t="s">
        <v>114</v>
      </c>
      <c r="B28" s="41"/>
      <c r="C28" s="40">
        <f>SUM(C6:C27)</f>
        <v>150</v>
      </c>
      <c r="D28" s="40">
        <f t="shared" ref="D28:F28" si="5">SUM(D6:D27)</f>
        <v>1043</v>
      </c>
      <c r="E28" s="40">
        <f t="shared" si="5"/>
        <v>253</v>
      </c>
      <c r="F28" s="40">
        <f t="shared" si="5"/>
        <v>39.4</v>
      </c>
      <c r="G28" s="883"/>
      <c r="H28" s="884"/>
      <c r="I28" s="40">
        <f t="shared" ref="I28" si="6">SUM(I6:I27)</f>
        <v>790</v>
      </c>
      <c r="J28" s="111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15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'13'!G31</f>
        <v>2290</v>
      </c>
      <c r="C31" s="154">
        <v>0</v>
      </c>
      <c r="D31" s="17">
        <f>SUM(B31:C31)</f>
        <v>2290</v>
      </c>
      <c r="E31" s="155">
        <f>C28</f>
        <v>150</v>
      </c>
      <c r="F31" s="17">
        <f>E28</f>
        <v>253</v>
      </c>
      <c r="G31" s="156">
        <f>D31-E31</f>
        <v>2140</v>
      </c>
      <c r="H31" s="900"/>
      <c r="I31" s="901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67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17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39.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23">
      <c r="A36" s="205" t="s">
        <v>139</v>
      </c>
      <c r="B36" s="158">
        <f>'13'!F36</f>
        <v>87</v>
      </c>
      <c r="C36" s="159"/>
      <c r="D36" s="160">
        <f>SUM(B36:C36)</f>
        <v>87</v>
      </c>
      <c r="E36" s="161"/>
      <c r="F36" s="160">
        <f>D36-E36</f>
        <v>87</v>
      </c>
      <c r="G36" s="69"/>
      <c r="H36" s="59"/>
      <c r="I36" s="59"/>
    </row>
    <row r="37" spans="1:10" ht="92.25">
      <c r="A37" s="206" t="s">
        <v>140</v>
      </c>
      <c r="B37" s="158">
        <f>'13'!F37</f>
        <v>255</v>
      </c>
      <c r="C37" s="159"/>
      <c r="D37" s="162">
        <f t="shared" ref="D37:D47" si="7">SUM(B37:C37)</f>
        <v>255</v>
      </c>
      <c r="E37" s="161"/>
      <c r="F37" s="162">
        <f t="shared" ref="F37:F47" si="8">D37-E37</f>
        <v>255</v>
      </c>
      <c r="G37" s="190"/>
      <c r="H37" s="59"/>
      <c r="I37" s="59"/>
    </row>
    <row r="38" spans="1:10" ht="123">
      <c r="A38" s="206" t="s">
        <v>141</v>
      </c>
      <c r="B38" s="158">
        <f>'13'!F38</f>
        <v>250</v>
      </c>
      <c r="C38" s="159"/>
      <c r="D38" s="162">
        <f t="shared" si="7"/>
        <v>250</v>
      </c>
      <c r="E38" s="161">
        <v>5</v>
      </c>
      <c r="F38" s="162">
        <f t="shared" si="8"/>
        <v>245</v>
      </c>
      <c r="G38" s="664" t="s">
        <v>231</v>
      </c>
      <c r="H38" s="74"/>
      <c r="I38" s="74"/>
    </row>
    <row r="39" spans="1:10" ht="123">
      <c r="A39" s="206" t="s">
        <v>142</v>
      </c>
      <c r="B39" s="158">
        <f>'13'!F39</f>
        <v>43</v>
      </c>
      <c r="C39" s="159"/>
      <c r="D39" s="162">
        <f t="shared" si="7"/>
        <v>43</v>
      </c>
      <c r="E39" s="161">
        <v>10</v>
      </c>
      <c r="F39" s="162">
        <f t="shared" si="8"/>
        <v>33</v>
      </c>
      <c r="G39" s="189" t="s">
        <v>209</v>
      </c>
      <c r="H39" s="59"/>
      <c r="I39" s="59"/>
    </row>
    <row r="40" spans="1:10" ht="123">
      <c r="A40" s="206" t="s">
        <v>143</v>
      </c>
      <c r="B40" s="158">
        <f>'13'!F40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23">
      <c r="A41" s="206" t="s">
        <v>144</v>
      </c>
      <c r="B41" s="158">
        <f>'13'!F41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23">
      <c r="A42" s="206" t="s">
        <v>145</v>
      </c>
      <c r="B42" s="158">
        <f>'13'!F42</f>
        <v>75</v>
      </c>
      <c r="C42" s="159"/>
      <c r="D42" s="162">
        <f t="shared" si="7"/>
        <v>75</v>
      </c>
      <c r="E42" s="161">
        <v>15</v>
      </c>
      <c r="F42" s="162">
        <f t="shared" si="8"/>
        <v>60</v>
      </c>
      <c r="G42" s="655" t="s">
        <v>223</v>
      </c>
      <c r="H42" s="59"/>
      <c r="I42" s="59"/>
    </row>
    <row r="43" spans="1:10" ht="123">
      <c r="A43" s="206" t="s">
        <v>86</v>
      </c>
      <c r="B43" s="158">
        <f>'13'!F43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208"/>
      <c r="H43" s="76"/>
      <c r="I43" s="59"/>
      <c r="J43" s="124"/>
    </row>
    <row r="44" spans="1:10" ht="92.25">
      <c r="A44" s="206" t="s">
        <v>146</v>
      </c>
      <c r="B44" s="158">
        <f>'13'!F44</f>
        <v>15</v>
      </c>
      <c r="C44" s="159"/>
      <c r="D44" s="162">
        <f t="shared" si="7"/>
        <v>15</v>
      </c>
      <c r="E44" s="161"/>
      <c r="F44" s="162">
        <f t="shared" si="8"/>
        <v>15</v>
      </c>
      <c r="G44" s="207"/>
      <c r="H44" s="74"/>
      <c r="I44" s="74"/>
    </row>
    <row r="45" spans="1:10" ht="123">
      <c r="A45" s="206" t="s">
        <v>147</v>
      </c>
      <c r="B45" s="158">
        <f>'13'!F45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23">
      <c r="A46" s="210" t="s">
        <v>148</v>
      </c>
      <c r="B46" s="158">
        <f>'13'!F46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211"/>
      <c r="H46" s="57"/>
      <c r="I46" s="76"/>
    </row>
    <row r="47" spans="1:10" ht="83.25" customHeight="1">
      <c r="A47" s="212" t="s">
        <v>92</v>
      </c>
      <c r="B47" s="158">
        <f>'13'!F47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130.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52.2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98.2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98.2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98.2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0866141732283472" right="0.70866141732283472" top="0.74803149606299213" bottom="0.74803149606299213" header="0.31496062992125984" footer="0.31496062992125984"/>
  <pageSetup scale="1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3"/>
  <sheetViews>
    <sheetView topLeftCell="A6" zoomScale="25" zoomScaleNormal="25" zoomScaleSheetLayoutView="24" workbookViewId="0">
      <selection activeCell="F8" sqref="F8"/>
    </sheetView>
  </sheetViews>
  <sheetFormatPr defaultColWidth="9" defaultRowHeight="33.75"/>
  <cols>
    <col min="1" max="1" width="58" style="3" customWidth="1"/>
    <col min="2" max="2" width="52" style="3" customWidth="1"/>
    <col min="3" max="5" width="48" style="3" customWidth="1"/>
    <col min="6" max="6" width="60.5703125" style="3" customWidth="1"/>
    <col min="7" max="7" width="75.42578125" style="3" customWidth="1"/>
    <col min="8" max="8" width="57.140625" style="3" customWidth="1"/>
    <col min="9" max="11" width="48" style="3" customWidth="1"/>
    <col min="12" max="12" width="17.140625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176</v>
      </c>
      <c r="C2" s="893"/>
      <c r="D2" s="893"/>
      <c r="E2" s="893"/>
      <c r="F2" s="893"/>
      <c r="G2" s="252" t="s">
        <v>107</v>
      </c>
      <c r="H2" s="186">
        <v>46249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12.5</v>
      </c>
      <c r="D4" s="14">
        <v>7.5</v>
      </c>
      <c r="E4" s="14">
        <v>4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207" customHeight="1">
      <c r="A6" s="217" t="s">
        <v>161</v>
      </c>
      <c r="B6" s="132">
        <f>'14'!I6</f>
        <v>273</v>
      </c>
      <c r="C6" s="133">
        <v>200</v>
      </c>
      <c r="D6" s="134">
        <f t="shared" ref="D6:D15" si="0">B6+C6</f>
        <v>473</v>
      </c>
      <c r="E6" s="135">
        <v>130</v>
      </c>
      <c r="F6" s="136">
        <v>15.5</v>
      </c>
      <c r="G6" s="137">
        <f>'14'!H6</f>
        <v>25340.100000000002</v>
      </c>
      <c r="H6" s="138">
        <f>SUM(G6,F6)</f>
        <v>25355.600000000002</v>
      </c>
      <c r="I6" s="165">
        <f>D6-E6</f>
        <v>343</v>
      </c>
      <c r="J6" s="166">
        <f t="shared" ref="J6:J27" si="1">E6/F6</f>
        <v>8.387096774193548</v>
      </c>
      <c r="K6" s="904"/>
      <c r="L6" s="905"/>
    </row>
    <row r="7" spans="1:12" ht="152.25" customHeight="1">
      <c r="A7" s="217" t="s">
        <v>162</v>
      </c>
      <c r="B7" s="132">
        <f>'14'!I7</f>
        <v>206</v>
      </c>
      <c r="C7" s="133">
        <v>50</v>
      </c>
      <c r="D7" s="139">
        <f t="shared" si="0"/>
        <v>256</v>
      </c>
      <c r="E7" s="135">
        <v>25</v>
      </c>
      <c r="F7" s="136">
        <v>1.5</v>
      </c>
      <c r="G7" s="137">
        <f>'14'!H7</f>
        <v>1518</v>
      </c>
      <c r="H7" s="134">
        <f t="shared" ref="H7:H27" si="2">SUM(G7,F7)</f>
        <v>1519.5</v>
      </c>
      <c r="I7" s="167">
        <f t="shared" ref="I7:I27" si="3">D7-E7</f>
        <v>231</v>
      </c>
      <c r="J7" s="168">
        <f t="shared" si="1"/>
        <v>16.666666666666668</v>
      </c>
      <c r="K7" s="896"/>
      <c r="L7" s="897"/>
    </row>
    <row r="8" spans="1:12" ht="173.25" customHeight="1">
      <c r="A8" s="217" t="s">
        <v>163</v>
      </c>
      <c r="B8" s="132">
        <f>'14'!I8</f>
        <v>158</v>
      </c>
      <c r="C8" s="133">
        <v>120</v>
      </c>
      <c r="D8" s="139">
        <f t="shared" si="0"/>
        <v>278</v>
      </c>
      <c r="E8" s="135">
        <v>147</v>
      </c>
      <c r="F8" s="136">
        <v>24</v>
      </c>
      <c r="G8" s="137">
        <f>'14'!H8</f>
        <v>1397</v>
      </c>
      <c r="H8" s="134">
        <f t="shared" si="2"/>
        <v>1421</v>
      </c>
      <c r="I8" s="167">
        <f t="shared" si="3"/>
        <v>131</v>
      </c>
      <c r="J8" s="168">
        <f t="shared" si="1"/>
        <v>6.125</v>
      </c>
      <c r="K8" s="862"/>
      <c r="L8" s="863"/>
    </row>
    <row r="9" spans="1:12" ht="246">
      <c r="A9" s="217" t="s">
        <v>164</v>
      </c>
      <c r="B9" s="132">
        <f>'14'!I9</f>
        <v>107</v>
      </c>
      <c r="C9" s="133">
        <v>0</v>
      </c>
      <c r="D9" s="139">
        <f t="shared" si="0"/>
        <v>107</v>
      </c>
      <c r="E9" s="135">
        <v>0</v>
      </c>
      <c r="F9" s="136">
        <v>0</v>
      </c>
      <c r="G9" s="137">
        <f>'14'!H9</f>
        <v>3330</v>
      </c>
      <c r="H9" s="134">
        <f t="shared" si="2"/>
        <v>3330</v>
      </c>
      <c r="I9" s="167">
        <f t="shared" si="3"/>
        <v>107</v>
      </c>
      <c r="J9" s="168" t="e">
        <f t="shared" si="1"/>
        <v>#DIV/0!</v>
      </c>
      <c r="K9" s="862"/>
      <c r="L9" s="863"/>
    </row>
    <row r="10" spans="1:12" ht="269.25" customHeight="1">
      <c r="A10" s="217" t="s">
        <v>165</v>
      </c>
      <c r="B10" s="132">
        <f>'14'!I10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'14'!H10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76.25" customHeight="1">
      <c r="A11" s="217" t="s">
        <v>166</v>
      </c>
      <c r="B11" s="132">
        <f>'14'!I11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'14'!H11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91.25" customHeight="1">
      <c r="A12" s="217" t="s">
        <v>5</v>
      </c>
      <c r="B12" s="132">
        <f>'14'!I12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'14'!H12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9" t="s">
        <v>167</v>
      </c>
      <c r="B13" s="132">
        <f>'14'!I13</f>
        <v>20</v>
      </c>
      <c r="C13" s="133">
        <v>30</v>
      </c>
      <c r="D13" s="139">
        <f t="shared" si="0"/>
        <v>50</v>
      </c>
      <c r="E13" s="135">
        <v>6</v>
      </c>
      <c r="F13" s="136">
        <v>2</v>
      </c>
      <c r="G13" s="137">
        <f>'14'!H13</f>
        <v>10</v>
      </c>
      <c r="H13" s="134">
        <f t="shared" si="2"/>
        <v>12</v>
      </c>
      <c r="I13" s="167">
        <f t="shared" si="3"/>
        <v>44</v>
      </c>
      <c r="J13" s="168">
        <f t="shared" si="1"/>
        <v>3</v>
      </c>
      <c r="K13" s="862"/>
      <c r="L13" s="863"/>
    </row>
    <row r="14" spans="1:12" ht="246">
      <c r="A14" s="219" t="s">
        <v>168</v>
      </c>
      <c r="B14" s="132">
        <f>'14'!I14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'14'!H14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235.5" customHeight="1">
      <c r="A15" s="219" t="s">
        <v>169</v>
      </c>
      <c r="B15" s="132">
        <f>'14'!I15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'14'!H15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307.5">
      <c r="A16" s="219" t="s">
        <v>170</v>
      </c>
      <c r="B16" s="132">
        <f>'14'!I16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'14'!H16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79.25" customHeight="1">
      <c r="A17" s="219" t="s">
        <v>171</v>
      </c>
      <c r="B17" s="132">
        <f>'14'!I17</f>
        <v>0</v>
      </c>
      <c r="C17" s="133">
        <v>0</v>
      </c>
      <c r="D17" s="139">
        <f t="shared" si="4"/>
        <v>0</v>
      </c>
      <c r="E17" s="135">
        <v>0</v>
      </c>
      <c r="F17" s="136">
        <v>0</v>
      </c>
      <c r="G17" s="137">
        <f>'14'!H17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>
      <c r="A18" s="287" t="s">
        <v>11</v>
      </c>
      <c r="B18" s="132">
        <f>'14'!I18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'14'!H18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'14'!I19</f>
        <v>0</v>
      </c>
      <c r="C19" s="133"/>
      <c r="D19" s="139">
        <f t="shared" si="4"/>
        <v>0</v>
      </c>
      <c r="E19" s="135"/>
      <c r="F19" s="136"/>
      <c r="G19" s="137">
        <f>'14'!H19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'14'!I20</f>
        <v>0</v>
      </c>
      <c r="C20" s="133"/>
      <c r="D20" s="139">
        <f t="shared" si="4"/>
        <v>0</v>
      </c>
      <c r="E20" s="135"/>
      <c r="F20" s="136"/>
      <c r="G20" s="137">
        <f>'14'!H20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'14'!I21</f>
        <v>0</v>
      </c>
      <c r="C21" s="133"/>
      <c r="D21" s="139">
        <f t="shared" si="4"/>
        <v>0</v>
      </c>
      <c r="E21" s="135"/>
      <c r="F21" s="136"/>
      <c r="G21" s="137">
        <f>'14'!H21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'14'!I22</f>
        <v>0</v>
      </c>
      <c r="C22" s="133"/>
      <c r="D22" s="139">
        <f t="shared" si="4"/>
        <v>0</v>
      </c>
      <c r="E22" s="135"/>
      <c r="F22" s="136"/>
      <c r="G22" s="137">
        <f>'14'!H22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'14'!I23</f>
        <v>0</v>
      </c>
      <c r="C23" s="174"/>
      <c r="D23" s="139">
        <f t="shared" si="4"/>
        <v>0</v>
      </c>
      <c r="E23" s="175"/>
      <c r="F23" s="176"/>
      <c r="G23" s="137">
        <f>'14'!H23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'14'!I24</f>
        <v>0</v>
      </c>
      <c r="C24" s="174"/>
      <c r="D24" s="139">
        <f t="shared" si="4"/>
        <v>0</v>
      </c>
      <c r="E24" s="175"/>
      <c r="F24" s="176"/>
      <c r="G24" s="137">
        <f>'14'!H24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'14'!I25</f>
        <v>0</v>
      </c>
      <c r="C25" s="174"/>
      <c r="D25" s="139">
        <f t="shared" si="4"/>
        <v>0</v>
      </c>
      <c r="E25" s="175"/>
      <c r="F25" s="176"/>
      <c r="G25" s="137">
        <f>'14'!H25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862"/>
      <c r="L25" s="863"/>
    </row>
    <row r="26" spans="1:12" ht="152.25" hidden="1" customHeight="1">
      <c r="A26" s="197"/>
      <c r="B26" s="132">
        <f>'14'!I26</f>
        <v>0</v>
      </c>
      <c r="C26" s="177"/>
      <c r="D26" s="148">
        <f t="shared" si="4"/>
        <v>0</v>
      </c>
      <c r="E26" s="178"/>
      <c r="F26" s="179"/>
      <c r="G26" s="137">
        <f>'14'!H26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862"/>
      <c r="L26" s="863"/>
    </row>
    <row r="27" spans="1:12" ht="152.25" hidden="1" customHeight="1">
      <c r="A27" s="198"/>
      <c r="B27" s="132">
        <f>'14'!I27</f>
        <v>0</v>
      </c>
      <c r="C27" s="180"/>
      <c r="D27" s="148">
        <f t="shared" si="4"/>
        <v>0</v>
      </c>
      <c r="E27" s="180"/>
      <c r="F27" s="179"/>
      <c r="G27" s="137">
        <f>'14'!H27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214"/>
      <c r="L27" s="215"/>
    </row>
    <row r="28" spans="1:12" ht="152.25" customHeight="1">
      <c r="A28" s="199" t="s">
        <v>114</v>
      </c>
      <c r="B28" s="41"/>
      <c r="C28" s="40">
        <f>SUM(C6:C27)</f>
        <v>400</v>
      </c>
      <c r="D28" s="40">
        <f t="shared" ref="D28:F28" si="5">SUM(D6:D27)</f>
        <v>1190</v>
      </c>
      <c r="E28" s="40">
        <f t="shared" si="5"/>
        <v>308</v>
      </c>
      <c r="F28" s="40">
        <f t="shared" si="5"/>
        <v>43</v>
      </c>
      <c r="G28" s="883"/>
      <c r="H28" s="884"/>
      <c r="I28" s="40">
        <f t="shared" ref="I28" si="6">SUM(I6:I27)</f>
        <v>882</v>
      </c>
      <c r="J28" s="111"/>
      <c r="K28" s="885"/>
      <c r="L28" s="886"/>
    </row>
    <row r="29" spans="1:12" ht="152.25" customHeigh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03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'14'!G31</f>
        <v>2140</v>
      </c>
      <c r="C31" s="154">
        <v>0</v>
      </c>
      <c r="D31" s="17">
        <f>SUM(B31:C31)</f>
        <v>2140</v>
      </c>
      <c r="E31" s="155">
        <f>C28</f>
        <v>400</v>
      </c>
      <c r="F31" s="17">
        <f>E28</f>
        <v>308</v>
      </c>
      <c r="G31" s="156">
        <f>D31-E31</f>
        <v>1740</v>
      </c>
      <c r="H31" s="889"/>
      <c r="I31" s="890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891"/>
      <c r="I32" s="892"/>
      <c r="J32" s="121"/>
    </row>
    <row r="33" spans="1:10" s="1" customFormat="1" ht="97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18.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27.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23">
      <c r="A36" s="205" t="s">
        <v>139</v>
      </c>
      <c r="B36" s="158">
        <f>'14'!F36</f>
        <v>87</v>
      </c>
      <c r="C36" s="159"/>
      <c r="D36" s="160">
        <f>SUM(B36:C36)</f>
        <v>87</v>
      </c>
      <c r="E36" s="161"/>
      <c r="F36" s="160">
        <f>D36-E36</f>
        <v>87</v>
      </c>
      <c r="G36" s="69"/>
      <c r="H36" s="59"/>
      <c r="I36" s="59"/>
    </row>
    <row r="37" spans="1:10" ht="123">
      <c r="A37" s="206" t="s">
        <v>140</v>
      </c>
      <c r="B37" s="158">
        <f>'14'!F37</f>
        <v>255</v>
      </c>
      <c r="C37" s="159"/>
      <c r="D37" s="162">
        <f t="shared" ref="D37:D47" si="7">SUM(B37:C37)</f>
        <v>255</v>
      </c>
      <c r="E37" s="161"/>
      <c r="F37" s="162">
        <f t="shared" ref="F37:F47" si="8">D37-E37</f>
        <v>255</v>
      </c>
      <c r="G37" s="72"/>
      <c r="H37" s="59"/>
      <c r="I37" s="59"/>
    </row>
    <row r="38" spans="1:10" ht="123">
      <c r="A38" s="206" t="s">
        <v>141</v>
      </c>
      <c r="B38" s="158">
        <f>'14'!F38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207"/>
      <c r="H38" s="74"/>
      <c r="I38" s="74"/>
    </row>
    <row r="39" spans="1:10" ht="123">
      <c r="A39" s="206" t="s">
        <v>142</v>
      </c>
      <c r="B39" s="158">
        <f>'14'!F39</f>
        <v>33</v>
      </c>
      <c r="C39" s="159"/>
      <c r="D39" s="162">
        <f t="shared" si="7"/>
        <v>33</v>
      </c>
      <c r="E39" s="161"/>
      <c r="F39" s="162">
        <f t="shared" si="8"/>
        <v>33</v>
      </c>
      <c r="G39" s="190"/>
      <c r="H39" s="59"/>
      <c r="I39" s="59"/>
    </row>
    <row r="40" spans="1:10" ht="184.5">
      <c r="A40" s="206" t="s">
        <v>143</v>
      </c>
      <c r="B40" s="158">
        <f>'14'!F40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84.5">
      <c r="A41" s="206" t="s">
        <v>144</v>
      </c>
      <c r="B41" s="158">
        <f>'14'!F41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15.5" customHeight="1">
      <c r="A42" s="206" t="s">
        <v>145</v>
      </c>
      <c r="B42" s="158">
        <f>'14'!F42</f>
        <v>60</v>
      </c>
      <c r="C42" s="159"/>
      <c r="D42" s="162">
        <f t="shared" si="7"/>
        <v>60</v>
      </c>
      <c r="E42" s="161"/>
      <c r="F42" s="162">
        <f t="shared" si="8"/>
        <v>60</v>
      </c>
      <c r="G42" s="72"/>
      <c r="H42" s="59"/>
      <c r="I42" s="59"/>
    </row>
    <row r="43" spans="1:10" ht="94.5" customHeight="1">
      <c r="A43" s="206" t="s">
        <v>86</v>
      </c>
      <c r="B43" s="158">
        <f>'14'!F43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51.5" customHeight="1">
      <c r="A44" s="206" t="s">
        <v>146</v>
      </c>
      <c r="B44" s="158">
        <f>'14'!F44</f>
        <v>15</v>
      </c>
      <c r="C44" s="159"/>
      <c r="D44" s="162">
        <f t="shared" si="7"/>
        <v>15</v>
      </c>
      <c r="E44" s="161">
        <v>5</v>
      </c>
      <c r="F44" s="162">
        <f t="shared" si="8"/>
        <v>10</v>
      </c>
      <c r="G44" s="664" t="s">
        <v>232</v>
      </c>
      <c r="H44" s="74"/>
      <c r="I44" s="74"/>
    </row>
    <row r="45" spans="1:10" ht="94.5" customHeight="1">
      <c r="A45" s="206" t="s">
        <v>147</v>
      </c>
      <c r="B45" s="158">
        <f>'14'!F45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94.5" customHeight="1">
      <c r="A46" s="210" t="s">
        <v>148</v>
      </c>
      <c r="B46" s="158">
        <f>'14'!F46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79"/>
      <c r="H46" s="57"/>
      <c r="I46" s="76"/>
    </row>
    <row r="47" spans="1:10" ht="100.5" customHeight="1">
      <c r="A47" s="212" t="s">
        <v>92</v>
      </c>
      <c r="B47" s="158">
        <f>'14'!F47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108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08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08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08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88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31496062992125984" right="0.31496062992125984" top="0.35433070866141736" bottom="0.35433070866141736" header="0.31496062992125984" footer="0.31496062992125984"/>
  <pageSetup scale="1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53"/>
  <sheetViews>
    <sheetView topLeftCell="A13" zoomScale="25" zoomScaleNormal="25" workbookViewId="0">
      <selection activeCell="C17" sqref="C17"/>
    </sheetView>
  </sheetViews>
  <sheetFormatPr defaultColWidth="9" defaultRowHeight="33.75"/>
  <cols>
    <col min="1" max="1" width="74.28515625" style="3" customWidth="1"/>
    <col min="2" max="2" width="60" style="3" customWidth="1"/>
    <col min="3" max="5" width="48" style="3" customWidth="1"/>
    <col min="6" max="6" width="62.85546875" style="3" customWidth="1"/>
    <col min="7" max="7" width="76.5703125" style="3" customWidth="1"/>
    <col min="8" max="8" width="57.140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177</v>
      </c>
      <c r="C2" s="893"/>
      <c r="D2" s="893"/>
      <c r="E2" s="893"/>
      <c r="F2" s="893"/>
      <c r="G2" s="252" t="s">
        <v>107</v>
      </c>
      <c r="H2" s="186">
        <v>46250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23</v>
      </c>
      <c r="D4" s="14">
        <v>1</v>
      </c>
      <c r="E4" s="14">
        <v>0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 thickBo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'15'!I6</f>
        <v>343</v>
      </c>
      <c r="C6" s="133">
        <v>200</v>
      </c>
      <c r="D6" s="134">
        <f t="shared" ref="D6:D15" si="0">B6+C6</f>
        <v>543</v>
      </c>
      <c r="E6" s="135">
        <v>202</v>
      </c>
      <c r="F6" s="136">
        <v>23.5</v>
      </c>
      <c r="G6" s="137">
        <f>'15'!H6</f>
        <v>25355.600000000002</v>
      </c>
      <c r="H6" s="138">
        <f>SUM(G6,F6)</f>
        <v>25379.100000000002</v>
      </c>
      <c r="I6" s="165">
        <f>D6-E6</f>
        <v>341</v>
      </c>
      <c r="J6" s="166">
        <f t="shared" ref="J6:J27" si="1">E6/F6</f>
        <v>8.5957446808510642</v>
      </c>
      <c r="K6" s="910"/>
      <c r="L6" s="911"/>
    </row>
    <row r="7" spans="1:12" ht="152.25" customHeight="1" thickBot="1">
      <c r="A7" s="217" t="s">
        <v>162</v>
      </c>
      <c r="B7" s="132">
        <f>'15'!I7</f>
        <v>231</v>
      </c>
      <c r="C7" s="133">
        <v>0</v>
      </c>
      <c r="D7" s="139">
        <f t="shared" si="0"/>
        <v>231</v>
      </c>
      <c r="E7" s="135">
        <v>33</v>
      </c>
      <c r="F7" s="136">
        <v>2</v>
      </c>
      <c r="G7" s="137">
        <f>'15'!H7</f>
        <v>1519.5</v>
      </c>
      <c r="H7" s="134">
        <f t="shared" ref="H7:H27" si="2">SUM(G7,F7)</f>
        <v>1521.5</v>
      </c>
      <c r="I7" s="167">
        <f t="shared" ref="I7:I27" si="3">D7-E7</f>
        <v>198</v>
      </c>
      <c r="J7" s="168">
        <f t="shared" si="1"/>
        <v>16.5</v>
      </c>
      <c r="K7" s="910"/>
      <c r="L7" s="911"/>
    </row>
    <row r="8" spans="1:12" ht="182.25" customHeight="1" thickBot="1">
      <c r="A8" s="217" t="s">
        <v>163</v>
      </c>
      <c r="B8" s="132">
        <f>'15'!I8</f>
        <v>131</v>
      </c>
      <c r="C8" s="133">
        <v>170</v>
      </c>
      <c r="D8" s="139">
        <f t="shared" si="0"/>
        <v>301</v>
      </c>
      <c r="E8" s="135">
        <v>145</v>
      </c>
      <c r="F8" s="136">
        <v>24</v>
      </c>
      <c r="G8" s="137">
        <f>'15'!H8</f>
        <v>1421</v>
      </c>
      <c r="H8" s="134">
        <f t="shared" si="2"/>
        <v>1445</v>
      </c>
      <c r="I8" s="167">
        <f t="shared" si="3"/>
        <v>156</v>
      </c>
      <c r="J8" s="168">
        <f t="shared" si="1"/>
        <v>6.041666666666667</v>
      </c>
      <c r="K8" s="862"/>
      <c r="L8" s="863"/>
    </row>
    <row r="9" spans="1:12" ht="185.25" customHeight="1" thickBot="1">
      <c r="A9" s="217" t="s">
        <v>164</v>
      </c>
      <c r="B9" s="132">
        <f>'15'!I9</f>
        <v>107</v>
      </c>
      <c r="C9" s="133">
        <v>0</v>
      </c>
      <c r="D9" s="139">
        <f t="shared" si="0"/>
        <v>107</v>
      </c>
      <c r="E9" s="135">
        <v>0</v>
      </c>
      <c r="F9" s="136">
        <v>0</v>
      </c>
      <c r="G9" s="137">
        <f>'15'!H9</f>
        <v>3330</v>
      </c>
      <c r="H9" s="134">
        <f t="shared" si="2"/>
        <v>3330</v>
      </c>
      <c r="I9" s="167">
        <f t="shared" si="3"/>
        <v>107</v>
      </c>
      <c r="J9" s="168" t="e">
        <f t="shared" si="1"/>
        <v>#DIV/0!</v>
      </c>
      <c r="K9" s="862"/>
      <c r="L9" s="863"/>
    </row>
    <row r="10" spans="1:12" ht="218.25" customHeight="1">
      <c r="A10" s="217" t="s">
        <v>165</v>
      </c>
      <c r="B10" s="132">
        <f>'15'!I10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'15'!H10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76.25" customHeight="1">
      <c r="A11" s="217" t="s">
        <v>166</v>
      </c>
      <c r="B11" s="132">
        <f>'15'!I11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'15'!H11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7" t="s">
        <v>5</v>
      </c>
      <c r="B12" s="132">
        <f>'15'!I12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'15'!H12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167</v>
      </c>
      <c r="B13" s="132">
        <f>'15'!I13</f>
        <v>44</v>
      </c>
      <c r="C13" s="133">
        <v>0</v>
      </c>
      <c r="D13" s="139">
        <f t="shared" si="0"/>
        <v>44</v>
      </c>
      <c r="E13" s="135">
        <v>0</v>
      </c>
      <c r="F13" s="136">
        <v>0</v>
      </c>
      <c r="G13" s="137">
        <f>'15'!H13</f>
        <v>12</v>
      </c>
      <c r="H13" s="134">
        <f t="shared" si="2"/>
        <v>12</v>
      </c>
      <c r="I13" s="167">
        <f t="shared" si="3"/>
        <v>44</v>
      </c>
      <c r="J13" s="168" t="e">
        <f t="shared" si="1"/>
        <v>#DIV/0!</v>
      </c>
      <c r="K13" s="862"/>
      <c r="L13" s="863"/>
    </row>
    <row r="14" spans="1:12" ht="152.25" customHeight="1">
      <c r="A14" s="219" t="s">
        <v>168</v>
      </c>
      <c r="B14" s="132">
        <f>'15'!I14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'15'!H14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52.25" customHeight="1">
      <c r="A15" s="219" t="s">
        <v>169</v>
      </c>
      <c r="B15" s="132">
        <f>'15'!I15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'15'!H15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52.25" customHeight="1" thickBot="1">
      <c r="A16" s="219" t="s">
        <v>170</v>
      </c>
      <c r="B16" s="132">
        <f>'15'!I16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'15'!H16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85.25" thickBot="1">
      <c r="A17" s="217" t="s">
        <v>171</v>
      </c>
      <c r="B17" s="132">
        <f>'15'!I17</f>
        <v>0</v>
      </c>
      <c r="C17" s="133">
        <v>25</v>
      </c>
      <c r="D17" s="139">
        <f t="shared" si="4"/>
        <v>25</v>
      </c>
      <c r="E17" s="135">
        <v>0</v>
      </c>
      <c r="F17" s="136">
        <v>0</v>
      </c>
      <c r="G17" s="137">
        <f>'15'!H17</f>
        <v>0</v>
      </c>
      <c r="H17" s="134">
        <f t="shared" si="2"/>
        <v>0</v>
      </c>
      <c r="I17" s="167">
        <f t="shared" si="3"/>
        <v>25</v>
      </c>
      <c r="J17" s="168" t="e">
        <f t="shared" si="1"/>
        <v>#DIV/0!</v>
      </c>
      <c r="K17" s="862" t="s">
        <v>236</v>
      </c>
      <c r="L17" s="863"/>
    </row>
    <row r="18" spans="1:12" ht="152.25" customHeight="1" thickBot="1">
      <c r="A18" s="287" t="s">
        <v>11</v>
      </c>
      <c r="B18" s="132">
        <f>'15'!I18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'15'!H18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'15'!I19</f>
        <v>0</v>
      </c>
      <c r="C19" s="133"/>
      <c r="D19" s="139">
        <f t="shared" si="4"/>
        <v>0</v>
      </c>
      <c r="E19" s="135"/>
      <c r="F19" s="136"/>
      <c r="G19" s="137">
        <f>'15'!H19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'15'!I20</f>
        <v>0</v>
      </c>
      <c r="C20" s="133"/>
      <c r="D20" s="139">
        <f t="shared" si="4"/>
        <v>0</v>
      </c>
      <c r="E20" s="135"/>
      <c r="F20" s="136"/>
      <c r="G20" s="137">
        <f>'15'!H20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'15'!I21</f>
        <v>0</v>
      </c>
      <c r="C21" s="133"/>
      <c r="D21" s="139">
        <f t="shared" si="4"/>
        <v>0</v>
      </c>
      <c r="E21" s="135"/>
      <c r="F21" s="136"/>
      <c r="G21" s="137">
        <f>'15'!H21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'15'!I22</f>
        <v>0</v>
      </c>
      <c r="C22" s="133"/>
      <c r="D22" s="139">
        <f t="shared" si="4"/>
        <v>0</v>
      </c>
      <c r="E22" s="135"/>
      <c r="F22" s="136"/>
      <c r="G22" s="137">
        <f>'15'!H22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'15'!I23</f>
        <v>0</v>
      </c>
      <c r="C23" s="174"/>
      <c r="D23" s="139">
        <f t="shared" si="4"/>
        <v>0</v>
      </c>
      <c r="E23" s="175"/>
      <c r="F23" s="176"/>
      <c r="G23" s="137">
        <f>'15'!H23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'15'!I24</f>
        <v>0</v>
      </c>
      <c r="C24" s="174"/>
      <c r="D24" s="139">
        <f t="shared" si="4"/>
        <v>0</v>
      </c>
      <c r="E24" s="175"/>
      <c r="F24" s="176"/>
      <c r="G24" s="137">
        <f>'15'!H24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'15'!I25</f>
        <v>0</v>
      </c>
      <c r="C25" s="174"/>
      <c r="D25" s="139">
        <f t="shared" si="4"/>
        <v>0</v>
      </c>
      <c r="E25" s="175"/>
      <c r="F25" s="176"/>
      <c r="G25" s="137">
        <f>'15'!H25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862"/>
      <c r="L25" s="863"/>
    </row>
    <row r="26" spans="1:12" ht="152.25" hidden="1" customHeight="1">
      <c r="A26" s="197"/>
      <c r="B26" s="132">
        <f>'15'!I26</f>
        <v>0</v>
      </c>
      <c r="C26" s="177"/>
      <c r="D26" s="148">
        <f t="shared" si="4"/>
        <v>0</v>
      </c>
      <c r="E26" s="178"/>
      <c r="F26" s="179"/>
      <c r="G26" s="137">
        <f>'15'!H26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862"/>
      <c r="L26" s="863"/>
    </row>
    <row r="27" spans="1:12" ht="152.25" hidden="1" customHeight="1">
      <c r="A27" s="198"/>
      <c r="B27" s="132">
        <f>'15'!I27</f>
        <v>0</v>
      </c>
      <c r="C27" s="180"/>
      <c r="D27" s="148">
        <f t="shared" si="4"/>
        <v>0</v>
      </c>
      <c r="E27" s="180"/>
      <c r="F27" s="179"/>
      <c r="G27" s="137">
        <f>'15'!H27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214"/>
      <c r="L27" s="215"/>
    </row>
    <row r="28" spans="1:12" ht="152.25" customHeight="1" thickBot="1">
      <c r="A28" s="40" t="s">
        <v>114</v>
      </c>
      <c r="B28" s="41"/>
      <c r="C28" s="40">
        <f>SUM(C6:C27)</f>
        <v>395</v>
      </c>
      <c r="D28" s="40">
        <f t="shared" ref="D28:F28" si="5">SUM(D6:D27)</f>
        <v>1277</v>
      </c>
      <c r="E28" s="40">
        <f t="shared" si="5"/>
        <v>380</v>
      </c>
      <c r="F28" s="40">
        <f t="shared" si="5"/>
        <v>49.5</v>
      </c>
      <c r="G28" s="883"/>
      <c r="H28" s="884"/>
      <c r="I28" s="40">
        <f t="shared" ref="I28" si="6">SUM(I6:I27)</f>
        <v>897</v>
      </c>
      <c r="J28" s="244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45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291">
        <f>'15'!G31</f>
        <v>1740</v>
      </c>
      <c r="C31" s="154">
        <v>0</v>
      </c>
      <c r="D31" s="17">
        <f>SUM(B31:C31)</f>
        <v>1740</v>
      </c>
      <c r="E31" s="155">
        <f>C28</f>
        <v>395</v>
      </c>
      <c r="F31" s="17">
        <f>E28</f>
        <v>380</v>
      </c>
      <c r="G31" s="156">
        <f>D31-E31</f>
        <v>1345</v>
      </c>
      <c r="H31" s="889"/>
      <c r="I31" s="890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891"/>
      <c r="I32" s="892"/>
      <c r="J32" s="121"/>
    </row>
    <row r="33" spans="1:10" s="1" customFormat="1" ht="130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36.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34.2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23">
      <c r="A36" s="205" t="s">
        <v>139</v>
      </c>
      <c r="B36" s="158">
        <f>'15'!F36</f>
        <v>87</v>
      </c>
      <c r="C36" s="159"/>
      <c r="D36" s="160">
        <f>SUM(B36:C36)</f>
        <v>87</v>
      </c>
      <c r="E36" s="161">
        <v>25</v>
      </c>
      <c r="F36" s="160">
        <f>D36-E36</f>
        <v>62</v>
      </c>
      <c r="G36" s="295" t="s">
        <v>233</v>
      </c>
      <c r="H36" s="59"/>
      <c r="I36" s="59"/>
    </row>
    <row r="37" spans="1:10" ht="134.25" customHeight="1">
      <c r="A37" s="206" t="s">
        <v>140</v>
      </c>
      <c r="B37" s="158">
        <f>'15'!F37</f>
        <v>255</v>
      </c>
      <c r="C37" s="159"/>
      <c r="D37" s="162">
        <f t="shared" ref="D37:D47" si="7">SUM(B37:C37)</f>
        <v>255</v>
      </c>
      <c r="E37" s="161">
        <v>30</v>
      </c>
      <c r="F37" s="162">
        <f t="shared" ref="F37:F47" si="8">D37-E37</f>
        <v>225</v>
      </c>
      <c r="G37" s="190" t="s">
        <v>235</v>
      </c>
      <c r="H37" s="59"/>
      <c r="I37" s="59"/>
    </row>
    <row r="38" spans="1:10" ht="134.25" customHeight="1">
      <c r="A38" s="206" t="s">
        <v>141</v>
      </c>
      <c r="B38" s="158">
        <f>'15'!F38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664"/>
      <c r="H38" s="74"/>
      <c r="I38" s="74"/>
    </row>
    <row r="39" spans="1:10" ht="134.25" customHeight="1">
      <c r="A39" s="206" t="s">
        <v>142</v>
      </c>
      <c r="B39" s="158">
        <f>'15'!F39</f>
        <v>33</v>
      </c>
      <c r="C39" s="159"/>
      <c r="D39" s="162">
        <f t="shared" si="7"/>
        <v>33</v>
      </c>
      <c r="E39" s="161">
        <v>25</v>
      </c>
      <c r="F39" s="162">
        <f t="shared" si="8"/>
        <v>8</v>
      </c>
      <c r="G39" s="189" t="s">
        <v>233</v>
      </c>
      <c r="H39" s="59"/>
      <c r="I39" s="59"/>
    </row>
    <row r="40" spans="1:10" ht="134.25" customHeight="1">
      <c r="A40" s="206" t="s">
        <v>143</v>
      </c>
      <c r="B40" s="158">
        <f>'15'!F40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189"/>
      <c r="H40" s="59"/>
      <c r="I40" s="59"/>
    </row>
    <row r="41" spans="1:10" ht="134.25" customHeight="1">
      <c r="A41" s="206" t="s">
        <v>144</v>
      </c>
      <c r="B41" s="158">
        <f>'15'!F41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189"/>
      <c r="H41" s="59"/>
      <c r="I41" s="59"/>
    </row>
    <row r="42" spans="1:10" ht="134.25" customHeight="1">
      <c r="A42" s="206" t="s">
        <v>145</v>
      </c>
      <c r="B42" s="158">
        <f>'15'!F42</f>
        <v>60</v>
      </c>
      <c r="C42" s="159"/>
      <c r="D42" s="162">
        <f t="shared" si="7"/>
        <v>60</v>
      </c>
      <c r="E42" s="161">
        <v>60</v>
      </c>
      <c r="F42" s="162">
        <f t="shared" si="8"/>
        <v>0</v>
      </c>
      <c r="G42" s="189" t="s">
        <v>234</v>
      </c>
      <c r="H42" s="59"/>
      <c r="I42" s="59"/>
    </row>
    <row r="43" spans="1:10" ht="134.25" customHeight="1">
      <c r="A43" s="206" t="s">
        <v>86</v>
      </c>
      <c r="B43" s="158">
        <f>'15'!F43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667"/>
      <c r="H43" s="76"/>
      <c r="I43" s="59"/>
      <c r="J43" s="124"/>
    </row>
    <row r="44" spans="1:10" ht="134.25" customHeight="1">
      <c r="A44" s="206" t="s">
        <v>146</v>
      </c>
      <c r="B44" s="158">
        <f>'15'!F44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664"/>
      <c r="H44" s="74"/>
      <c r="I44" s="74"/>
    </row>
    <row r="45" spans="1:10" ht="134.25" customHeight="1">
      <c r="A45" s="206" t="s">
        <v>147</v>
      </c>
      <c r="B45" s="158">
        <f>'15'!F45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668"/>
      <c r="H45" s="57"/>
      <c r="I45" s="76"/>
    </row>
    <row r="46" spans="1:10" ht="134.25" customHeight="1">
      <c r="A46" s="210" t="s">
        <v>148</v>
      </c>
      <c r="B46" s="158">
        <f>'15'!F46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662"/>
      <c r="H46" s="57"/>
      <c r="I46" s="76"/>
    </row>
    <row r="47" spans="1:10" ht="112.5" customHeight="1">
      <c r="A47" s="212" t="s">
        <v>92</v>
      </c>
      <c r="B47" s="158">
        <f>'15'!F47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123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23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23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23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79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31496062992125984" right="0.70866141732283472" top="0.35433070866141736" bottom="0.35433070866141736" header="0.31496062992125984" footer="0.31496062992125984"/>
  <pageSetup scale="1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53"/>
  <sheetViews>
    <sheetView topLeftCell="A43" zoomScale="25" zoomScaleNormal="25" workbookViewId="0">
      <selection activeCell="C8" sqref="C8"/>
    </sheetView>
  </sheetViews>
  <sheetFormatPr defaultColWidth="9" defaultRowHeight="33.75"/>
  <cols>
    <col min="1" max="1" width="77.140625" style="3" customWidth="1"/>
    <col min="2" max="2" width="60" style="3" customWidth="1"/>
    <col min="3" max="5" width="48" style="3" customWidth="1"/>
    <col min="6" max="6" width="59.42578125" style="3" customWidth="1"/>
    <col min="7" max="7" width="77.7109375" style="3" customWidth="1"/>
    <col min="8" max="8" width="57.140625" style="3" customWidth="1"/>
    <col min="9" max="9" width="48" style="3" customWidth="1"/>
    <col min="10" max="10" width="55.42578125" style="3" customWidth="1"/>
    <col min="11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179</v>
      </c>
      <c r="C2" s="893"/>
      <c r="D2" s="893"/>
      <c r="E2" s="893"/>
      <c r="F2" s="893"/>
      <c r="G2" s="252" t="s">
        <v>107</v>
      </c>
      <c r="H2" s="186">
        <v>46251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23</v>
      </c>
      <c r="D4" s="14">
        <v>1</v>
      </c>
      <c r="E4" s="14">
        <v>0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>
      <c r="A6" s="217" t="s">
        <v>161</v>
      </c>
      <c r="B6" s="132">
        <f>'16'!I6</f>
        <v>341</v>
      </c>
      <c r="C6" s="133">
        <v>200</v>
      </c>
      <c r="D6" s="134">
        <f t="shared" ref="D6:D15" si="0">B6+C6</f>
        <v>541</v>
      </c>
      <c r="E6" s="135">
        <v>225</v>
      </c>
      <c r="F6" s="136">
        <v>24</v>
      </c>
      <c r="G6" s="137">
        <f>'16'!H6</f>
        <v>25379.100000000002</v>
      </c>
      <c r="H6" s="138">
        <f>SUM(G6,F6)</f>
        <v>25403.100000000002</v>
      </c>
      <c r="I6" s="165">
        <f>D6-E6</f>
        <v>316</v>
      </c>
      <c r="J6" s="166">
        <f t="shared" ref="J6:J27" si="1">E6/F6</f>
        <v>9.375</v>
      </c>
      <c r="K6" s="922" t="s">
        <v>242</v>
      </c>
      <c r="L6" s="923"/>
    </row>
    <row r="7" spans="1:12" ht="152.25" customHeight="1">
      <c r="A7" s="217" t="s">
        <v>162</v>
      </c>
      <c r="B7" s="132">
        <f>'16'!I7</f>
        <v>198</v>
      </c>
      <c r="C7" s="133">
        <v>40</v>
      </c>
      <c r="D7" s="139">
        <f t="shared" si="0"/>
        <v>238</v>
      </c>
      <c r="E7" s="135">
        <v>40</v>
      </c>
      <c r="F7" s="136">
        <v>2.5</v>
      </c>
      <c r="G7" s="137">
        <f>'16'!H7</f>
        <v>1521.5</v>
      </c>
      <c r="H7" s="134">
        <f t="shared" ref="H7:H27" si="2">SUM(G7,F7)</f>
        <v>1524</v>
      </c>
      <c r="I7" s="167">
        <f t="shared" ref="I7:I27" si="3">D7-E7</f>
        <v>198</v>
      </c>
      <c r="J7" s="168">
        <f t="shared" si="1"/>
        <v>16</v>
      </c>
      <c r="K7" s="922"/>
      <c r="L7" s="923"/>
    </row>
    <row r="8" spans="1:12" ht="185.25" customHeight="1">
      <c r="A8" s="217" t="s">
        <v>163</v>
      </c>
      <c r="B8" s="132">
        <f>'16'!I8</f>
        <v>156</v>
      </c>
      <c r="C8" s="133">
        <v>170</v>
      </c>
      <c r="D8" s="139">
        <f t="shared" si="0"/>
        <v>326</v>
      </c>
      <c r="E8" s="135">
        <v>150</v>
      </c>
      <c r="F8" s="136">
        <v>20</v>
      </c>
      <c r="G8" s="137">
        <f>'16'!H8</f>
        <v>1445</v>
      </c>
      <c r="H8" s="134">
        <f t="shared" si="2"/>
        <v>1465</v>
      </c>
      <c r="I8" s="167">
        <f t="shared" si="3"/>
        <v>176</v>
      </c>
      <c r="J8" s="168">
        <f t="shared" si="1"/>
        <v>7.5</v>
      </c>
      <c r="K8" s="862"/>
      <c r="L8" s="863"/>
    </row>
    <row r="9" spans="1:12" ht="218.25" customHeight="1">
      <c r="A9" s="217" t="s">
        <v>164</v>
      </c>
      <c r="B9" s="132">
        <f>'16'!I9</f>
        <v>107</v>
      </c>
      <c r="C9" s="133">
        <v>80</v>
      </c>
      <c r="D9" s="139">
        <f t="shared" si="0"/>
        <v>187</v>
      </c>
      <c r="E9" s="135">
        <v>28</v>
      </c>
      <c r="F9" s="136">
        <v>4</v>
      </c>
      <c r="G9" s="137">
        <f>'16'!H9</f>
        <v>3330</v>
      </c>
      <c r="H9" s="134">
        <f t="shared" si="2"/>
        <v>3334</v>
      </c>
      <c r="I9" s="167">
        <f t="shared" si="3"/>
        <v>159</v>
      </c>
      <c r="J9" s="168">
        <f t="shared" si="1"/>
        <v>7</v>
      </c>
      <c r="K9" s="862"/>
      <c r="L9" s="863"/>
    </row>
    <row r="10" spans="1:12" ht="152.25" customHeight="1">
      <c r="A10" s="217" t="s">
        <v>165</v>
      </c>
      <c r="B10" s="132">
        <f>'16'!I10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'16'!H10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94.25" customHeight="1">
      <c r="A11" s="217" t="s">
        <v>166</v>
      </c>
      <c r="B11" s="132">
        <f>'16'!I11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'16'!H11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79.25" customHeight="1">
      <c r="A12" s="217" t="s">
        <v>5</v>
      </c>
      <c r="B12" s="132">
        <f>'16'!I12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'16'!H12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7" t="s">
        <v>167</v>
      </c>
      <c r="B13" s="132">
        <f>'16'!I13</f>
        <v>44</v>
      </c>
      <c r="C13" s="133">
        <v>0</v>
      </c>
      <c r="D13" s="139">
        <f t="shared" si="0"/>
        <v>44</v>
      </c>
      <c r="E13" s="135">
        <v>6</v>
      </c>
      <c r="F13" s="136">
        <v>2</v>
      </c>
      <c r="G13" s="137">
        <f>'16'!H13</f>
        <v>12</v>
      </c>
      <c r="H13" s="134">
        <f t="shared" si="2"/>
        <v>14</v>
      </c>
      <c r="I13" s="167">
        <f t="shared" si="3"/>
        <v>38</v>
      </c>
      <c r="J13" s="168">
        <f t="shared" si="1"/>
        <v>3</v>
      </c>
      <c r="K13" s="862"/>
      <c r="L13" s="863"/>
    </row>
    <row r="14" spans="1:12" ht="152.25" customHeight="1">
      <c r="A14" s="219" t="s">
        <v>168</v>
      </c>
      <c r="B14" s="132">
        <f>'16'!I14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'16'!H14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52.25" customHeight="1">
      <c r="A15" s="219" t="s">
        <v>169</v>
      </c>
      <c r="B15" s="132">
        <f>'16'!I15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'16'!H15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52.25" customHeight="1">
      <c r="A16" s="219" t="s">
        <v>170</v>
      </c>
      <c r="B16" s="132">
        <f>'16'!I16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'16'!H16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84.5">
      <c r="A17" s="217" t="s">
        <v>171</v>
      </c>
      <c r="B17" s="132">
        <f>'16'!I17</f>
        <v>25</v>
      </c>
      <c r="C17" s="133">
        <v>0</v>
      </c>
      <c r="D17" s="139">
        <f t="shared" si="4"/>
        <v>25</v>
      </c>
      <c r="E17" s="135">
        <v>0</v>
      </c>
      <c r="F17" s="136">
        <v>0</v>
      </c>
      <c r="G17" s="137">
        <f>'16'!H17</f>
        <v>0</v>
      </c>
      <c r="H17" s="134">
        <f t="shared" si="2"/>
        <v>0</v>
      </c>
      <c r="I17" s="167">
        <f t="shared" si="3"/>
        <v>25</v>
      </c>
      <c r="J17" s="168" t="e">
        <f t="shared" si="1"/>
        <v>#DIV/0!</v>
      </c>
      <c r="K17" s="181"/>
      <c r="L17" s="181"/>
    </row>
    <row r="18" spans="1:12" ht="152.25" customHeight="1">
      <c r="A18" s="287" t="s">
        <v>11</v>
      </c>
      <c r="B18" s="132">
        <f>'16'!I18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'16'!H18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'16'!I19</f>
        <v>0</v>
      </c>
      <c r="C19" s="133"/>
      <c r="D19" s="139">
        <f t="shared" si="4"/>
        <v>0</v>
      </c>
      <c r="E19" s="135"/>
      <c r="F19" s="136"/>
      <c r="G19" s="137">
        <f>'16'!H19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'16'!I20</f>
        <v>0</v>
      </c>
      <c r="C20" s="133"/>
      <c r="D20" s="139">
        <f t="shared" si="4"/>
        <v>0</v>
      </c>
      <c r="E20" s="135"/>
      <c r="F20" s="136"/>
      <c r="G20" s="137">
        <f>'16'!H20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'16'!I21</f>
        <v>0</v>
      </c>
      <c r="C21" s="133"/>
      <c r="D21" s="139">
        <f t="shared" si="4"/>
        <v>0</v>
      </c>
      <c r="E21" s="135"/>
      <c r="F21" s="136"/>
      <c r="G21" s="137">
        <f>'16'!H21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'16'!I22</f>
        <v>0</v>
      </c>
      <c r="C22" s="133"/>
      <c r="D22" s="139">
        <f t="shared" si="4"/>
        <v>0</v>
      </c>
      <c r="E22" s="135"/>
      <c r="F22" s="136"/>
      <c r="G22" s="137">
        <f>'16'!H22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'16'!I23</f>
        <v>0</v>
      </c>
      <c r="C23" s="174"/>
      <c r="D23" s="139">
        <f t="shared" si="4"/>
        <v>0</v>
      </c>
      <c r="E23" s="175"/>
      <c r="F23" s="176"/>
      <c r="G23" s="137">
        <f>'16'!H23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'16'!I24</f>
        <v>0</v>
      </c>
      <c r="C24" s="174"/>
      <c r="D24" s="139">
        <f t="shared" si="4"/>
        <v>0</v>
      </c>
      <c r="E24" s="175"/>
      <c r="F24" s="176"/>
      <c r="G24" s="137">
        <f>'16'!H24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'16'!I25</f>
        <v>0</v>
      </c>
      <c r="C25" s="174"/>
      <c r="D25" s="139">
        <f t="shared" si="4"/>
        <v>0</v>
      </c>
      <c r="E25" s="175"/>
      <c r="F25" s="176"/>
      <c r="G25" s="137">
        <f>'16'!H25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862"/>
      <c r="L25" s="863"/>
    </row>
    <row r="26" spans="1:12" ht="152.25" hidden="1" customHeight="1">
      <c r="A26" s="197"/>
      <c r="B26" s="132">
        <f>'16'!I26</f>
        <v>0</v>
      </c>
      <c r="C26" s="177"/>
      <c r="D26" s="148">
        <f t="shared" si="4"/>
        <v>0</v>
      </c>
      <c r="E26" s="178"/>
      <c r="F26" s="179"/>
      <c r="G26" s="137">
        <f>'16'!H26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862"/>
      <c r="L26" s="863"/>
    </row>
    <row r="27" spans="1:12" ht="152.25" hidden="1" customHeight="1">
      <c r="A27" s="198"/>
      <c r="B27" s="132">
        <f>'16'!I27</f>
        <v>0</v>
      </c>
      <c r="C27" s="180"/>
      <c r="D27" s="148">
        <f t="shared" si="4"/>
        <v>0</v>
      </c>
      <c r="E27" s="180"/>
      <c r="F27" s="179"/>
      <c r="G27" s="137">
        <f>'16'!H27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214"/>
      <c r="L27" s="215"/>
    </row>
    <row r="28" spans="1:12" ht="152.25" customHeight="1">
      <c r="A28" s="199" t="s">
        <v>114</v>
      </c>
      <c r="B28" s="41"/>
      <c r="C28" s="40">
        <f>SUM(C6:C27)</f>
        <v>490</v>
      </c>
      <c r="D28" s="40">
        <f t="shared" ref="D28:F28" si="5">SUM(D6:D27)</f>
        <v>1387</v>
      </c>
      <c r="E28" s="40">
        <f t="shared" si="5"/>
        <v>449</v>
      </c>
      <c r="F28" s="40">
        <f t="shared" si="5"/>
        <v>52.5</v>
      </c>
      <c r="G28" s="883"/>
      <c r="H28" s="884"/>
      <c r="I28" s="40">
        <f t="shared" ref="I28" si="6">SUM(I6:I27)</f>
        <v>938</v>
      </c>
      <c r="J28" s="111"/>
      <c r="K28" s="885"/>
      <c r="L28" s="886"/>
    </row>
    <row r="29" spans="1:12" ht="152.25" customHeight="1">
      <c r="A29" s="43"/>
      <c r="B29" s="288"/>
      <c r="C29" s="288"/>
      <c r="D29" s="288"/>
      <c r="E29" s="288"/>
      <c r="F29" s="288"/>
      <c r="G29" s="288"/>
      <c r="H29" s="288"/>
      <c r="I29" s="288"/>
      <c r="J29" s="289"/>
    </row>
    <row r="30" spans="1:12" ht="182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'16'!G31</f>
        <v>1345</v>
      </c>
      <c r="C31" s="154">
        <v>0</v>
      </c>
      <c r="D31" s="17">
        <f>SUM(B31:C31)</f>
        <v>1345</v>
      </c>
      <c r="E31" s="155">
        <f>C28</f>
        <v>490</v>
      </c>
      <c r="F31" s="17">
        <f>E28</f>
        <v>449</v>
      </c>
      <c r="G31" s="156">
        <f>D31-E31</f>
        <v>855</v>
      </c>
      <c r="H31" s="900"/>
      <c r="I31" s="901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87.7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31.2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31.2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31.25" customHeight="1">
      <c r="A36" s="205" t="s">
        <v>139</v>
      </c>
      <c r="B36" s="158">
        <f>'16'!F36</f>
        <v>62</v>
      </c>
      <c r="C36" s="159"/>
      <c r="D36" s="160">
        <f>SUM(B36:C36)</f>
        <v>62</v>
      </c>
      <c r="E36" s="161"/>
      <c r="F36" s="160">
        <f>D36-E36</f>
        <v>62</v>
      </c>
      <c r="G36" s="69"/>
      <c r="H36" s="59"/>
      <c r="I36" s="59"/>
    </row>
    <row r="37" spans="1:10" ht="203.25" customHeight="1">
      <c r="A37" s="206" t="s">
        <v>140</v>
      </c>
      <c r="B37" s="158">
        <f>'16'!F37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190"/>
      <c r="H37" s="59"/>
      <c r="I37" s="59"/>
    </row>
    <row r="38" spans="1:10" ht="131.25" customHeight="1">
      <c r="A38" s="206" t="s">
        <v>141</v>
      </c>
      <c r="B38" s="158">
        <f>'16'!F38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207"/>
      <c r="H38" s="74"/>
      <c r="I38" s="74"/>
    </row>
    <row r="39" spans="1:10" ht="131.25" customHeight="1">
      <c r="A39" s="206" t="s">
        <v>142</v>
      </c>
      <c r="B39" s="158">
        <f>'16'!F39</f>
        <v>8</v>
      </c>
      <c r="C39" s="159"/>
      <c r="D39" s="162">
        <f t="shared" si="7"/>
        <v>8</v>
      </c>
      <c r="E39" s="161"/>
      <c r="F39" s="162">
        <f t="shared" si="8"/>
        <v>8</v>
      </c>
      <c r="G39" s="72"/>
      <c r="H39" s="59"/>
      <c r="I39" s="59"/>
    </row>
    <row r="40" spans="1:10" ht="131.25" customHeight="1">
      <c r="A40" s="206" t="s">
        <v>143</v>
      </c>
      <c r="B40" s="158">
        <f>'16'!F40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31.25" customHeight="1">
      <c r="A41" s="206" t="s">
        <v>144</v>
      </c>
      <c r="B41" s="158">
        <f>'16'!F41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31.25" customHeight="1">
      <c r="A42" s="206" t="s">
        <v>145</v>
      </c>
      <c r="B42" s="158">
        <f>'16'!F42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189"/>
      <c r="H42" s="59"/>
      <c r="I42" s="59"/>
    </row>
    <row r="43" spans="1:10" ht="131.25" customHeight="1">
      <c r="A43" s="206" t="s">
        <v>86</v>
      </c>
      <c r="B43" s="158">
        <f>'16'!F43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31.25" customHeight="1">
      <c r="A44" s="206" t="s">
        <v>146</v>
      </c>
      <c r="B44" s="158">
        <f>'16'!F44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664"/>
      <c r="H44" s="74"/>
      <c r="I44" s="74"/>
    </row>
    <row r="45" spans="1:10" ht="131.25" customHeight="1">
      <c r="A45" s="206" t="s">
        <v>147</v>
      </c>
      <c r="B45" s="158">
        <f>'16'!F45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31.25" customHeight="1">
      <c r="A46" s="210" t="s">
        <v>148</v>
      </c>
      <c r="B46" s="158">
        <f>'16'!F46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79"/>
      <c r="H46" s="57"/>
      <c r="I46" s="76"/>
    </row>
    <row r="47" spans="1:10" ht="76.5" customHeight="1">
      <c r="A47" s="212" t="s">
        <v>92</v>
      </c>
      <c r="B47" s="158">
        <f>'16'!F47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87.75" customHeight="1">
      <c r="A48" s="83"/>
      <c r="B48" s="84"/>
      <c r="C48" s="213"/>
      <c r="D48" s="84"/>
      <c r="E48" s="84"/>
      <c r="F48" s="85"/>
      <c r="G48" s="86"/>
      <c r="H48" s="57"/>
      <c r="I48" s="110"/>
      <c r="J48" s="57"/>
    </row>
    <row r="49" spans="1:11" ht="87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87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87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91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1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31496062992125984" right="0.31496062992125984" top="0.35433070866141736" bottom="0.35433070866141736" header="0.31496062992125984" footer="0.31496062992125984"/>
  <pageSetup scale="1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L53"/>
  <sheetViews>
    <sheetView topLeftCell="A31" zoomScale="25" zoomScaleNormal="25" workbookViewId="0">
      <selection activeCell="C9" sqref="C9"/>
    </sheetView>
  </sheetViews>
  <sheetFormatPr defaultColWidth="9" defaultRowHeight="33.75"/>
  <cols>
    <col min="1" max="1" width="75.42578125" style="3" customWidth="1"/>
    <col min="2" max="2" width="60" style="3" customWidth="1"/>
    <col min="3" max="5" width="48" style="3" customWidth="1"/>
    <col min="6" max="6" width="57.7109375" style="3" customWidth="1"/>
    <col min="7" max="7" width="63.42578125" style="3" customWidth="1"/>
    <col min="8" max="8" width="57.140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179</v>
      </c>
      <c r="C2" s="893"/>
      <c r="D2" s="893"/>
      <c r="E2" s="893"/>
      <c r="F2" s="893"/>
      <c r="G2" s="252" t="s">
        <v>107</v>
      </c>
      <c r="H2" s="186">
        <v>46252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23</v>
      </c>
      <c r="D4" s="14">
        <v>1</v>
      </c>
      <c r="E4" s="14">
        <v>0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 thickBo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'17'!I6</f>
        <v>316</v>
      </c>
      <c r="C6" s="133">
        <v>200</v>
      </c>
      <c r="D6" s="134">
        <f t="shared" ref="D6:D15" si="0">B6+C6</f>
        <v>516</v>
      </c>
      <c r="E6" s="135">
        <v>200</v>
      </c>
      <c r="F6" s="136">
        <v>23.5</v>
      </c>
      <c r="G6" s="137">
        <f>'17'!H6</f>
        <v>25403.100000000002</v>
      </c>
      <c r="H6" s="138">
        <f>SUM(G6,F6)</f>
        <v>25426.600000000002</v>
      </c>
      <c r="I6" s="165">
        <f>D6-E6</f>
        <v>316</v>
      </c>
      <c r="J6" s="166">
        <f t="shared" ref="J6:J27" si="1">E6/F6</f>
        <v>8.5106382978723403</v>
      </c>
      <c r="K6" s="922" t="s">
        <v>242</v>
      </c>
      <c r="L6" s="923"/>
    </row>
    <row r="7" spans="1:12" ht="203.25" customHeight="1" thickBot="1">
      <c r="A7" s="217" t="s">
        <v>172</v>
      </c>
      <c r="B7" s="132">
        <f>'17'!I7</f>
        <v>198</v>
      </c>
      <c r="C7" s="133">
        <v>0</v>
      </c>
      <c r="D7" s="139">
        <f t="shared" si="0"/>
        <v>198</v>
      </c>
      <c r="E7" s="135">
        <v>17</v>
      </c>
      <c r="F7" s="136">
        <v>1</v>
      </c>
      <c r="G7" s="137">
        <f>'17'!H7</f>
        <v>1524</v>
      </c>
      <c r="H7" s="134">
        <f t="shared" ref="H7:H27" si="2">SUM(G7,F7)</f>
        <v>1525</v>
      </c>
      <c r="I7" s="167">
        <f t="shared" ref="I7:I27" si="3">D7-E7</f>
        <v>181</v>
      </c>
      <c r="J7" s="168">
        <f t="shared" si="1"/>
        <v>17</v>
      </c>
      <c r="K7" s="924"/>
      <c r="L7" s="925"/>
    </row>
    <row r="8" spans="1:12" ht="194.25" customHeight="1" thickBot="1">
      <c r="A8" s="217" t="s">
        <v>163</v>
      </c>
      <c r="B8" s="132">
        <f>'17'!I8</f>
        <v>176</v>
      </c>
      <c r="C8" s="133">
        <v>0</v>
      </c>
      <c r="D8" s="139">
        <f t="shared" si="0"/>
        <v>176</v>
      </c>
      <c r="E8" s="135">
        <v>83</v>
      </c>
      <c r="F8" s="136">
        <v>12</v>
      </c>
      <c r="G8" s="137">
        <f>'17'!H8</f>
        <v>1465</v>
      </c>
      <c r="H8" s="134">
        <f t="shared" si="2"/>
        <v>1477</v>
      </c>
      <c r="I8" s="167">
        <f t="shared" si="3"/>
        <v>93</v>
      </c>
      <c r="J8" s="168">
        <f t="shared" si="1"/>
        <v>6.916666666666667</v>
      </c>
      <c r="K8" s="918"/>
      <c r="L8" s="919"/>
    </row>
    <row r="9" spans="1:12" ht="203.25" customHeight="1">
      <c r="A9" s="217" t="s">
        <v>164</v>
      </c>
      <c r="B9" s="132">
        <f>'17'!I9</f>
        <v>159</v>
      </c>
      <c r="C9" s="133">
        <v>40</v>
      </c>
      <c r="D9" s="139">
        <f t="shared" si="0"/>
        <v>199</v>
      </c>
      <c r="E9" s="135">
        <v>75</v>
      </c>
      <c r="F9" s="136">
        <v>12</v>
      </c>
      <c r="G9" s="137">
        <f>'17'!H9</f>
        <v>3334</v>
      </c>
      <c r="H9" s="134">
        <f t="shared" si="2"/>
        <v>3346</v>
      </c>
      <c r="I9" s="167">
        <f t="shared" si="3"/>
        <v>124</v>
      </c>
      <c r="J9" s="168">
        <f t="shared" si="1"/>
        <v>6.25</v>
      </c>
      <c r="K9" s="918"/>
      <c r="L9" s="919"/>
    </row>
    <row r="10" spans="1:12" ht="179.25" customHeight="1">
      <c r="A10" s="217" t="s">
        <v>165</v>
      </c>
      <c r="B10" s="132">
        <f>'17'!I10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'17'!H10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918"/>
      <c r="L10" s="919"/>
    </row>
    <row r="11" spans="1:12" ht="179.25" customHeight="1">
      <c r="A11" s="217" t="s">
        <v>166</v>
      </c>
      <c r="B11" s="132">
        <f>'17'!I11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'17'!H11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918"/>
      <c r="L11" s="919"/>
    </row>
    <row r="12" spans="1:12" ht="179.25" customHeight="1">
      <c r="A12" s="217" t="s">
        <v>5</v>
      </c>
      <c r="B12" s="132">
        <f>'17'!I12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'17'!H12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918"/>
      <c r="L12" s="919"/>
    </row>
    <row r="13" spans="1:12" ht="152.25" customHeight="1">
      <c r="A13" s="219" t="s">
        <v>167</v>
      </c>
      <c r="B13" s="132">
        <f>'17'!I13</f>
        <v>38</v>
      </c>
      <c r="C13" s="133">
        <v>0</v>
      </c>
      <c r="D13" s="139">
        <f t="shared" si="0"/>
        <v>38</v>
      </c>
      <c r="E13" s="135">
        <v>0</v>
      </c>
      <c r="F13" s="136">
        <v>0</v>
      </c>
      <c r="G13" s="137">
        <f>'17'!H13</f>
        <v>14</v>
      </c>
      <c r="H13" s="134">
        <f t="shared" si="2"/>
        <v>14</v>
      </c>
      <c r="I13" s="167">
        <f t="shared" si="3"/>
        <v>38</v>
      </c>
      <c r="J13" s="168" t="e">
        <f t="shared" si="1"/>
        <v>#DIV/0!</v>
      </c>
      <c r="K13" s="918"/>
      <c r="L13" s="919"/>
    </row>
    <row r="14" spans="1:12" ht="152.25" customHeight="1">
      <c r="A14" s="219" t="s">
        <v>168</v>
      </c>
      <c r="B14" s="132">
        <f>'17'!I14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'17'!H14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918"/>
      <c r="L14" s="919"/>
    </row>
    <row r="15" spans="1:12" ht="152.25" customHeight="1">
      <c r="A15" s="219" t="s">
        <v>169</v>
      </c>
      <c r="B15" s="132">
        <f>'17'!I15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'17'!H15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918"/>
      <c r="L15" s="919"/>
    </row>
    <row r="16" spans="1:12" ht="152.25" customHeight="1">
      <c r="A16" s="219" t="s">
        <v>170</v>
      </c>
      <c r="B16" s="132">
        <f>'17'!I16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'17'!H16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82.25" customHeight="1">
      <c r="A17" s="217" t="s">
        <v>171</v>
      </c>
      <c r="B17" s="132">
        <f>'17'!I17</f>
        <v>25</v>
      </c>
      <c r="C17" s="133">
        <v>0</v>
      </c>
      <c r="D17" s="139">
        <f t="shared" si="4"/>
        <v>25</v>
      </c>
      <c r="E17" s="135">
        <v>0</v>
      </c>
      <c r="F17" s="136">
        <v>0</v>
      </c>
      <c r="G17" s="137">
        <f>'17'!H17</f>
        <v>0</v>
      </c>
      <c r="H17" s="134">
        <f t="shared" si="2"/>
        <v>0</v>
      </c>
      <c r="I17" s="167">
        <f t="shared" si="3"/>
        <v>25</v>
      </c>
      <c r="J17" s="168" t="e">
        <f t="shared" si="1"/>
        <v>#DIV/0!</v>
      </c>
      <c r="K17" s="918"/>
      <c r="L17" s="919"/>
    </row>
    <row r="18" spans="1:12" ht="152.25" customHeight="1" thickBot="1">
      <c r="A18" s="287" t="s">
        <v>11</v>
      </c>
      <c r="B18" s="132">
        <f>'17'!I18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'17'!H18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918"/>
      <c r="L18" s="919"/>
    </row>
    <row r="19" spans="1:12" ht="152.25" hidden="1" customHeight="1">
      <c r="A19" s="197"/>
      <c r="B19" s="132">
        <f>'17'!I19</f>
        <v>0</v>
      </c>
      <c r="C19" s="133"/>
      <c r="D19" s="139">
        <f t="shared" si="4"/>
        <v>0</v>
      </c>
      <c r="E19" s="135"/>
      <c r="F19" s="136"/>
      <c r="G19" s="137">
        <f>'17'!H19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918"/>
      <c r="L19" s="919"/>
    </row>
    <row r="20" spans="1:12" ht="152.25" hidden="1" customHeight="1">
      <c r="A20" s="197"/>
      <c r="B20" s="132">
        <f>'17'!I20</f>
        <v>0</v>
      </c>
      <c r="C20" s="133"/>
      <c r="D20" s="139">
        <f t="shared" si="4"/>
        <v>0</v>
      </c>
      <c r="E20" s="135"/>
      <c r="F20" s="136"/>
      <c r="G20" s="137">
        <f>'17'!H20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918"/>
      <c r="L20" s="919"/>
    </row>
    <row r="21" spans="1:12" ht="152.25" hidden="1" customHeight="1">
      <c r="A21" s="197"/>
      <c r="B21" s="132">
        <f>'17'!I21</f>
        <v>0</v>
      </c>
      <c r="C21" s="133"/>
      <c r="D21" s="139">
        <f t="shared" si="4"/>
        <v>0</v>
      </c>
      <c r="E21" s="135"/>
      <c r="F21" s="136"/>
      <c r="G21" s="137">
        <f>'17'!H21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918"/>
      <c r="L21" s="919"/>
    </row>
    <row r="22" spans="1:12" ht="152.25" hidden="1" customHeight="1">
      <c r="A22" s="197"/>
      <c r="B22" s="132">
        <f>'17'!I22</f>
        <v>0</v>
      </c>
      <c r="C22" s="133"/>
      <c r="D22" s="139">
        <f t="shared" si="4"/>
        <v>0</v>
      </c>
      <c r="E22" s="135"/>
      <c r="F22" s="136"/>
      <c r="G22" s="137">
        <f>'17'!H22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918"/>
      <c r="L22" s="919"/>
    </row>
    <row r="23" spans="1:12" ht="152.25" hidden="1" customHeight="1">
      <c r="A23" s="197"/>
      <c r="B23" s="132">
        <f>'17'!I23</f>
        <v>0</v>
      </c>
      <c r="C23" s="174"/>
      <c r="D23" s="139">
        <f t="shared" si="4"/>
        <v>0</v>
      </c>
      <c r="E23" s="175"/>
      <c r="F23" s="176"/>
      <c r="G23" s="137">
        <f>'17'!H23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918"/>
      <c r="L23" s="919"/>
    </row>
    <row r="24" spans="1:12" ht="152.25" hidden="1" customHeight="1">
      <c r="A24" s="197"/>
      <c r="B24" s="132">
        <f>'17'!I24</f>
        <v>0</v>
      </c>
      <c r="C24" s="174"/>
      <c r="D24" s="139">
        <f t="shared" si="4"/>
        <v>0</v>
      </c>
      <c r="E24" s="175"/>
      <c r="F24" s="176"/>
      <c r="G24" s="137">
        <f>'17'!H24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918"/>
      <c r="L24" s="919"/>
    </row>
    <row r="25" spans="1:12" ht="152.25" hidden="1" customHeight="1">
      <c r="A25" s="197"/>
      <c r="B25" s="132">
        <f>'17'!I25</f>
        <v>0</v>
      </c>
      <c r="C25" s="174"/>
      <c r="D25" s="139">
        <f t="shared" si="4"/>
        <v>0</v>
      </c>
      <c r="E25" s="175"/>
      <c r="F25" s="176"/>
      <c r="G25" s="137">
        <f>'17'!H25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918"/>
      <c r="L25" s="919"/>
    </row>
    <row r="26" spans="1:12" ht="152.25" hidden="1" customHeight="1">
      <c r="A26" s="197"/>
      <c r="B26" s="132">
        <f>'17'!I26</f>
        <v>0</v>
      </c>
      <c r="C26" s="177"/>
      <c r="D26" s="148">
        <f t="shared" si="4"/>
        <v>0</v>
      </c>
      <c r="E26" s="178"/>
      <c r="F26" s="179"/>
      <c r="G26" s="137">
        <f>'17'!H26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918"/>
      <c r="L26" s="919"/>
    </row>
    <row r="27" spans="1:12" ht="152.25" hidden="1" customHeight="1">
      <c r="A27" s="198"/>
      <c r="B27" s="132">
        <f>'17'!I27</f>
        <v>0</v>
      </c>
      <c r="C27" s="180"/>
      <c r="D27" s="148">
        <f t="shared" si="4"/>
        <v>0</v>
      </c>
      <c r="E27" s="180"/>
      <c r="F27" s="179"/>
      <c r="G27" s="137">
        <f>'17'!H27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118"/>
      <c r="L27" s="119"/>
    </row>
    <row r="28" spans="1:12" ht="152.25" customHeight="1" thickBot="1">
      <c r="A28" s="199" t="s">
        <v>114</v>
      </c>
      <c r="B28" s="41"/>
      <c r="C28" s="40">
        <f>SUM(C6:C27)</f>
        <v>240</v>
      </c>
      <c r="D28" s="40">
        <f t="shared" ref="D28:F28" si="5">SUM(D6:D27)</f>
        <v>1178</v>
      </c>
      <c r="E28" s="40">
        <f t="shared" si="5"/>
        <v>375</v>
      </c>
      <c r="F28" s="40">
        <f t="shared" si="5"/>
        <v>48.5</v>
      </c>
      <c r="G28" s="883"/>
      <c r="H28" s="884"/>
      <c r="I28" s="40">
        <f t="shared" ref="I28" si="6">SUM(I6:I27)</f>
        <v>803</v>
      </c>
      <c r="J28" s="111"/>
      <c r="K28" s="920"/>
      <c r="L28" s="921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179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'17'!G31</f>
        <v>855</v>
      </c>
      <c r="C31" s="154">
        <v>0</v>
      </c>
      <c r="D31" s="17">
        <f>SUM(B31:C31)</f>
        <v>855</v>
      </c>
      <c r="E31" s="155">
        <f>C28</f>
        <v>240</v>
      </c>
      <c r="F31" s="17">
        <f>E28</f>
        <v>375</v>
      </c>
      <c r="G31" s="156">
        <f>D31-E31</f>
        <v>615</v>
      </c>
      <c r="H31" s="900"/>
      <c r="I31" s="901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100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13.2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13.2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13.25" customHeight="1">
      <c r="A36" s="205" t="s">
        <v>139</v>
      </c>
      <c r="B36" s="158">
        <f>'17'!F36</f>
        <v>62</v>
      </c>
      <c r="C36" s="159"/>
      <c r="D36" s="160">
        <f>SUM(B36:C36)</f>
        <v>62</v>
      </c>
      <c r="E36" s="161"/>
      <c r="F36" s="160">
        <f>D36-E36</f>
        <v>62</v>
      </c>
      <c r="G36" s="69"/>
      <c r="H36" s="59"/>
      <c r="I36" s="59"/>
    </row>
    <row r="37" spans="1:10" ht="113.25" customHeight="1">
      <c r="A37" s="206" t="s">
        <v>140</v>
      </c>
      <c r="B37" s="158">
        <f>'17'!F37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292"/>
      <c r="H37" s="59"/>
      <c r="I37" s="59"/>
    </row>
    <row r="38" spans="1:10" ht="113.25" customHeight="1">
      <c r="A38" s="206" t="s">
        <v>141</v>
      </c>
      <c r="B38" s="158">
        <f>'17'!F38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207"/>
      <c r="H38" s="74"/>
      <c r="I38" s="74"/>
    </row>
    <row r="39" spans="1:10" ht="113.25" customHeight="1">
      <c r="A39" s="206" t="s">
        <v>142</v>
      </c>
      <c r="B39" s="158">
        <f>'17'!F39</f>
        <v>8</v>
      </c>
      <c r="C39" s="159"/>
      <c r="D39" s="162">
        <f t="shared" si="7"/>
        <v>8</v>
      </c>
      <c r="E39" s="161"/>
      <c r="F39" s="162">
        <f t="shared" si="8"/>
        <v>8</v>
      </c>
      <c r="G39" s="189"/>
      <c r="H39" s="59"/>
      <c r="I39" s="59"/>
    </row>
    <row r="40" spans="1:10" ht="113.25" customHeight="1">
      <c r="A40" s="206" t="s">
        <v>143</v>
      </c>
      <c r="B40" s="158">
        <f>'17'!F40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13.25" customHeight="1">
      <c r="A41" s="206" t="s">
        <v>144</v>
      </c>
      <c r="B41" s="158">
        <f>'17'!F41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237.75" customHeight="1">
      <c r="A42" s="206" t="s">
        <v>145</v>
      </c>
      <c r="B42" s="158">
        <f>'17'!F42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655"/>
      <c r="H42" s="59"/>
      <c r="I42" s="59"/>
    </row>
    <row r="43" spans="1:10" ht="113.25" customHeight="1">
      <c r="A43" s="206" t="s">
        <v>86</v>
      </c>
      <c r="B43" s="158">
        <f>'17'!F43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13.25" customHeight="1">
      <c r="A44" s="206" t="s">
        <v>146</v>
      </c>
      <c r="B44" s="158">
        <f>'17'!F44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656"/>
      <c r="H44" s="74"/>
      <c r="I44" s="74"/>
    </row>
    <row r="45" spans="1:10" ht="113.25" customHeight="1">
      <c r="A45" s="206" t="s">
        <v>147</v>
      </c>
      <c r="B45" s="158">
        <f>'17'!F45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13.25" customHeight="1">
      <c r="A46" s="210" t="s">
        <v>148</v>
      </c>
      <c r="B46" s="158">
        <f>'17'!F46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211"/>
      <c r="H46" s="57"/>
      <c r="I46" s="76"/>
    </row>
    <row r="47" spans="1:10" ht="97.5" customHeight="1">
      <c r="A47" s="212" t="s">
        <v>92</v>
      </c>
      <c r="B47" s="158">
        <f>'17'!F47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278"/>
      <c r="H47" s="57"/>
      <c r="I47" s="59"/>
    </row>
    <row r="48" spans="1:10" ht="111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11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11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11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76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0866141732283472" right="0.70866141732283472" top="0.74803149606299213" bottom="0.74803149606299213" header="0.31496062992125984" footer="0.31496062992125984"/>
  <pageSetup scale="1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53"/>
  <sheetViews>
    <sheetView topLeftCell="A3" zoomScale="25" zoomScaleNormal="25" workbookViewId="0">
      <selection activeCell="C8" sqref="C8"/>
    </sheetView>
  </sheetViews>
  <sheetFormatPr defaultColWidth="9" defaultRowHeight="33.75"/>
  <cols>
    <col min="1" max="1" width="82.28515625" style="3" customWidth="1"/>
    <col min="2" max="2" width="60" style="3" customWidth="1"/>
    <col min="3" max="5" width="48" style="3" customWidth="1"/>
    <col min="6" max="6" width="56.5703125" style="3" customWidth="1"/>
    <col min="7" max="7" width="63.42578125" style="3" customWidth="1"/>
    <col min="8" max="8" width="57.140625" style="3" customWidth="1"/>
    <col min="9" max="9" width="48" style="3" customWidth="1"/>
    <col min="10" max="10" width="54.5703125" style="3" bestFit="1" customWidth="1"/>
    <col min="11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700" t="s">
        <v>177</v>
      </c>
      <c r="C2" s="893"/>
      <c r="D2" s="893"/>
      <c r="E2" s="893"/>
      <c r="F2" s="893"/>
      <c r="G2" s="252" t="s">
        <v>107</v>
      </c>
      <c r="H2" s="186">
        <v>46253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23</v>
      </c>
      <c r="D4" s="14">
        <v>1</v>
      </c>
      <c r="E4" s="14">
        <v>0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'18'!I6</f>
        <v>316</v>
      </c>
      <c r="C6" s="133">
        <v>215</v>
      </c>
      <c r="D6" s="134">
        <f t="shared" ref="D6:D15" si="0">B6+C6</f>
        <v>531</v>
      </c>
      <c r="E6" s="135">
        <v>215</v>
      </c>
      <c r="F6" s="136">
        <v>23.5</v>
      </c>
      <c r="G6" s="137">
        <f>'18'!H6</f>
        <v>25426.600000000002</v>
      </c>
      <c r="H6" s="138">
        <f>SUM(G6,F6)</f>
        <v>25450.100000000002</v>
      </c>
      <c r="I6" s="165">
        <f>D6-E6</f>
        <v>316</v>
      </c>
      <c r="J6" s="166">
        <f t="shared" ref="J6:J27" si="1">E6/F6</f>
        <v>9.1489361702127656</v>
      </c>
      <c r="K6" s="926" t="s">
        <v>227</v>
      </c>
      <c r="L6" s="927"/>
    </row>
    <row r="7" spans="1:12" ht="152.25" customHeight="1" thickBot="1">
      <c r="A7" s="217" t="s">
        <v>162</v>
      </c>
      <c r="B7" s="132">
        <f>'18'!I7</f>
        <v>181</v>
      </c>
      <c r="C7" s="133">
        <v>110</v>
      </c>
      <c r="D7" s="139">
        <f t="shared" si="0"/>
        <v>291</v>
      </c>
      <c r="E7" s="135">
        <v>140</v>
      </c>
      <c r="F7" s="136">
        <v>6.5</v>
      </c>
      <c r="G7" s="137">
        <f>'18'!H7</f>
        <v>1525</v>
      </c>
      <c r="H7" s="134">
        <f t="shared" ref="H7:H27" si="2">SUM(G7,F7)</f>
        <v>1531.5</v>
      </c>
      <c r="I7" s="167">
        <f t="shared" ref="I7:I27" si="3">D7-E7</f>
        <v>151</v>
      </c>
      <c r="J7" s="168">
        <f t="shared" si="1"/>
        <v>21.53846153846154</v>
      </c>
      <c r="K7" s="926" t="s">
        <v>227</v>
      </c>
      <c r="L7" s="927"/>
    </row>
    <row r="8" spans="1:12" ht="209.25" customHeight="1" thickBot="1">
      <c r="A8" s="217" t="s">
        <v>163</v>
      </c>
      <c r="B8" s="132">
        <f>'18'!I8</f>
        <v>93</v>
      </c>
      <c r="C8" s="133">
        <v>120</v>
      </c>
      <c r="D8" s="139">
        <f t="shared" si="0"/>
        <v>213</v>
      </c>
      <c r="E8" s="135">
        <v>80</v>
      </c>
      <c r="F8" s="136">
        <v>12</v>
      </c>
      <c r="G8" s="137">
        <f>'18'!H8</f>
        <v>1477</v>
      </c>
      <c r="H8" s="134">
        <f t="shared" si="2"/>
        <v>1489</v>
      </c>
      <c r="I8" s="167">
        <f t="shared" si="3"/>
        <v>133</v>
      </c>
      <c r="J8" s="168">
        <f t="shared" si="1"/>
        <v>6.666666666666667</v>
      </c>
      <c r="K8" s="862"/>
      <c r="L8" s="863"/>
    </row>
    <row r="9" spans="1:12" ht="200.25" customHeight="1">
      <c r="A9" s="217" t="s">
        <v>164</v>
      </c>
      <c r="B9" s="132">
        <f>'18'!I9</f>
        <v>124</v>
      </c>
      <c r="C9" s="133">
        <v>80</v>
      </c>
      <c r="D9" s="139">
        <f t="shared" si="0"/>
        <v>204</v>
      </c>
      <c r="E9" s="135">
        <v>70</v>
      </c>
      <c r="F9" s="136">
        <v>12</v>
      </c>
      <c r="G9" s="137">
        <f>'18'!H9</f>
        <v>3346</v>
      </c>
      <c r="H9" s="134">
        <f t="shared" si="2"/>
        <v>3358</v>
      </c>
      <c r="I9" s="167">
        <f t="shared" si="3"/>
        <v>134</v>
      </c>
      <c r="J9" s="168">
        <f t="shared" si="1"/>
        <v>5.833333333333333</v>
      </c>
      <c r="K9" s="862"/>
      <c r="L9" s="863"/>
    </row>
    <row r="10" spans="1:12" ht="184.5">
      <c r="A10" s="217" t="s">
        <v>165</v>
      </c>
      <c r="B10" s="132">
        <f>'18'!I10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'18'!H10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94.25" customHeight="1">
      <c r="A11" s="217" t="s">
        <v>166</v>
      </c>
      <c r="B11" s="132">
        <f>'18'!I11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'18'!H11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84.5">
      <c r="A12" s="217" t="s">
        <v>5</v>
      </c>
      <c r="B12" s="132">
        <f>'18'!I12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'18'!H12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9" t="s">
        <v>167</v>
      </c>
      <c r="B13" s="132">
        <f>'18'!I13</f>
        <v>38</v>
      </c>
      <c r="C13" s="133">
        <v>0</v>
      </c>
      <c r="D13" s="139">
        <f t="shared" si="0"/>
        <v>38</v>
      </c>
      <c r="E13" s="135">
        <v>0</v>
      </c>
      <c r="F13" s="136">
        <v>0</v>
      </c>
      <c r="G13" s="137">
        <f>'18'!H13</f>
        <v>14</v>
      </c>
      <c r="H13" s="134">
        <f t="shared" si="2"/>
        <v>14</v>
      </c>
      <c r="I13" s="167">
        <f t="shared" si="3"/>
        <v>38</v>
      </c>
      <c r="J13" s="168" t="e">
        <f t="shared" si="1"/>
        <v>#DIV/0!</v>
      </c>
      <c r="K13" s="862"/>
      <c r="L13" s="863"/>
    </row>
    <row r="14" spans="1:12" ht="152.25" customHeight="1">
      <c r="A14" s="219" t="s">
        <v>168</v>
      </c>
      <c r="B14" s="132">
        <f>'18'!I14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'18'!H14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52.25" customHeight="1">
      <c r="A15" s="219" t="s">
        <v>169</v>
      </c>
      <c r="B15" s="132">
        <f>'18'!I15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'18'!H15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52.25" customHeight="1">
      <c r="A16" s="219" t="s">
        <v>170</v>
      </c>
      <c r="B16" s="132">
        <f>'18'!I16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'18'!H16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82.25" customHeight="1">
      <c r="A17" s="219" t="s">
        <v>171</v>
      </c>
      <c r="B17" s="132">
        <f>'18'!I17</f>
        <v>25</v>
      </c>
      <c r="C17" s="133">
        <v>0</v>
      </c>
      <c r="D17" s="139">
        <f t="shared" si="4"/>
        <v>25</v>
      </c>
      <c r="E17" s="135">
        <v>0</v>
      </c>
      <c r="F17" s="136">
        <v>0</v>
      </c>
      <c r="G17" s="137">
        <f>'18'!H17</f>
        <v>0</v>
      </c>
      <c r="H17" s="134">
        <f t="shared" si="2"/>
        <v>0</v>
      </c>
      <c r="I17" s="167">
        <f t="shared" si="3"/>
        <v>25</v>
      </c>
      <c r="J17" s="168" t="e">
        <f t="shared" si="1"/>
        <v>#DIV/0!</v>
      </c>
      <c r="K17" s="862"/>
      <c r="L17" s="863"/>
    </row>
    <row r="18" spans="1:12" ht="152.25" customHeight="1" thickBot="1">
      <c r="A18" s="220" t="s">
        <v>11</v>
      </c>
      <c r="B18" s="132">
        <f>'18'!I18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'18'!H18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'18'!I19</f>
        <v>0</v>
      </c>
      <c r="C19" s="133"/>
      <c r="D19" s="139">
        <f t="shared" si="4"/>
        <v>0</v>
      </c>
      <c r="E19" s="135"/>
      <c r="F19" s="136"/>
      <c r="G19" s="137">
        <f>'18'!H19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'18'!I20</f>
        <v>0</v>
      </c>
      <c r="C20" s="133"/>
      <c r="D20" s="139">
        <f t="shared" si="4"/>
        <v>0</v>
      </c>
      <c r="E20" s="135"/>
      <c r="F20" s="136"/>
      <c r="G20" s="137">
        <f>'18'!H20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'18'!I21</f>
        <v>0</v>
      </c>
      <c r="C21" s="133"/>
      <c r="D21" s="139">
        <f t="shared" si="4"/>
        <v>0</v>
      </c>
      <c r="E21" s="135"/>
      <c r="F21" s="136"/>
      <c r="G21" s="137">
        <f>'18'!H21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'18'!I22</f>
        <v>0</v>
      </c>
      <c r="C22" s="133"/>
      <c r="D22" s="139">
        <f t="shared" si="4"/>
        <v>0</v>
      </c>
      <c r="E22" s="135"/>
      <c r="F22" s="136"/>
      <c r="G22" s="137">
        <f>'18'!H22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'18'!I23</f>
        <v>0</v>
      </c>
      <c r="C23" s="174"/>
      <c r="D23" s="139">
        <f t="shared" si="4"/>
        <v>0</v>
      </c>
      <c r="E23" s="175"/>
      <c r="F23" s="176"/>
      <c r="G23" s="137">
        <f>'18'!H23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'18'!I24</f>
        <v>0</v>
      </c>
      <c r="C24" s="174"/>
      <c r="D24" s="139">
        <f t="shared" si="4"/>
        <v>0</v>
      </c>
      <c r="E24" s="175"/>
      <c r="F24" s="176"/>
      <c r="G24" s="137">
        <f>'18'!H24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'18'!I25</f>
        <v>0</v>
      </c>
      <c r="C25" s="174"/>
      <c r="D25" s="139">
        <f t="shared" si="4"/>
        <v>0</v>
      </c>
      <c r="E25" s="175"/>
      <c r="F25" s="176"/>
      <c r="G25" s="137">
        <f>'18'!H25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862"/>
      <c r="L25" s="863"/>
    </row>
    <row r="26" spans="1:12" ht="152.25" hidden="1" customHeight="1">
      <c r="A26" s="197"/>
      <c r="B26" s="132">
        <f>'18'!I26</f>
        <v>0</v>
      </c>
      <c r="C26" s="177"/>
      <c r="D26" s="148">
        <f t="shared" si="4"/>
        <v>0</v>
      </c>
      <c r="E26" s="178"/>
      <c r="F26" s="179"/>
      <c r="G26" s="137">
        <f>'18'!H26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862"/>
      <c r="L26" s="863"/>
    </row>
    <row r="27" spans="1:12" ht="152.25" hidden="1" customHeight="1">
      <c r="A27" s="198"/>
      <c r="B27" s="132">
        <f>'18'!I27</f>
        <v>0</v>
      </c>
      <c r="C27" s="180"/>
      <c r="D27" s="148">
        <f t="shared" si="4"/>
        <v>0</v>
      </c>
      <c r="E27" s="180"/>
      <c r="F27" s="179"/>
      <c r="G27" s="137">
        <f>'18'!H27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214"/>
      <c r="L27" s="215"/>
    </row>
    <row r="28" spans="1:12" ht="152.25" customHeight="1" thickBot="1">
      <c r="A28" s="199" t="s">
        <v>114</v>
      </c>
      <c r="B28" s="41"/>
      <c r="C28" s="40">
        <f>SUM(C6:C27)</f>
        <v>525</v>
      </c>
      <c r="D28" s="40">
        <f t="shared" ref="D28:F28" si="5">SUM(D6:D27)</f>
        <v>1328</v>
      </c>
      <c r="E28" s="40">
        <f t="shared" si="5"/>
        <v>505</v>
      </c>
      <c r="F28" s="40">
        <f t="shared" si="5"/>
        <v>54</v>
      </c>
      <c r="G28" s="883"/>
      <c r="H28" s="884"/>
      <c r="I28" s="40">
        <f t="shared" ref="I28" si="6">SUM(I6:I27)</f>
        <v>823</v>
      </c>
      <c r="J28" s="111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194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'18'!G31</f>
        <v>615</v>
      </c>
      <c r="C31" s="154">
        <v>0</v>
      </c>
      <c r="D31" s="17">
        <f>SUM(B31:C31)</f>
        <v>615</v>
      </c>
      <c r="E31" s="155">
        <f>C28</f>
        <v>525</v>
      </c>
      <c r="F31" s="17">
        <f>E28</f>
        <v>505</v>
      </c>
      <c r="G31" s="156">
        <f>D31-E31</f>
        <v>90</v>
      </c>
      <c r="H31" s="889"/>
      <c r="I31" s="890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891"/>
      <c r="I32" s="892"/>
      <c r="J32" s="121"/>
    </row>
    <row r="33" spans="1:10" s="1" customFormat="1" ht="109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46.2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46.2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23">
      <c r="A36" s="205" t="s">
        <v>139</v>
      </c>
      <c r="B36" s="158">
        <f>'18'!F36</f>
        <v>62</v>
      </c>
      <c r="C36" s="159"/>
      <c r="D36" s="160">
        <f>SUM(B36:C36)</f>
        <v>62</v>
      </c>
      <c r="E36" s="161"/>
      <c r="F36" s="281">
        <f>D36-E36</f>
        <v>62</v>
      </c>
      <c r="G36" s="657"/>
      <c r="H36" s="59"/>
      <c r="I36" s="59"/>
    </row>
    <row r="37" spans="1:10" ht="146.25" customHeight="1">
      <c r="A37" s="206" t="s">
        <v>140</v>
      </c>
      <c r="B37" s="158">
        <f>'18'!F37</f>
        <v>225</v>
      </c>
      <c r="C37" s="159"/>
      <c r="D37" s="162">
        <f t="shared" ref="D37:D47" si="7">SUM(B37:C37)</f>
        <v>225</v>
      </c>
      <c r="E37" s="161"/>
      <c r="F37" s="282">
        <f t="shared" ref="F37:F47" si="8">D37-E37</f>
        <v>225</v>
      </c>
      <c r="G37" s="190"/>
      <c r="H37" s="59"/>
      <c r="I37" s="59"/>
    </row>
    <row r="38" spans="1:10" ht="146.25" customHeight="1">
      <c r="A38" s="206" t="s">
        <v>141</v>
      </c>
      <c r="B38" s="158">
        <f>'18'!F38</f>
        <v>245</v>
      </c>
      <c r="C38" s="159"/>
      <c r="D38" s="162">
        <f t="shared" si="7"/>
        <v>245</v>
      </c>
      <c r="E38" s="161"/>
      <c r="F38" s="282">
        <f t="shared" si="8"/>
        <v>245</v>
      </c>
      <c r="G38" s="207"/>
      <c r="H38" s="74"/>
      <c r="I38" s="74"/>
    </row>
    <row r="39" spans="1:10" ht="146.25" customHeight="1">
      <c r="A39" s="206" t="s">
        <v>142</v>
      </c>
      <c r="B39" s="158">
        <f>'18'!F39</f>
        <v>8</v>
      </c>
      <c r="C39" s="159"/>
      <c r="D39" s="162">
        <f t="shared" si="7"/>
        <v>8</v>
      </c>
      <c r="E39" s="161"/>
      <c r="F39" s="282">
        <f t="shared" si="8"/>
        <v>8</v>
      </c>
      <c r="G39" s="671"/>
      <c r="H39" s="59"/>
      <c r="I39" s="59"/>
    </row>
    <row r="40" spans="1:10" ht="146.25" customHeight="1">
      <c r="A40" s="206" t="s">
        <v>143</v>
      </c>
      <c r="B40" s="158">
        <f>'18'!F40</f>
        <v>0</v>
      </c>
      <c r="C40" s="159"/>
      <c r="D40" s="162">
        <f t="shared" si="7"/>
        <v>0</v>
      </c>
      <c r="E40" s="161"/>
      <c r="F40" s="282">
        <f t="shared" si="8"/>
        <v>0</v>
      </c>
      <c r="G40" s="72"/>
      <c r="H40" s="59"/>
      <c r="I40" s="59"/>
    </row>
    <row r="41" spans="1:10" ht="146.25" customHeight="1">
      <c r="A41" s="206" t="s">
        <v>144</v>
      </c>
      <c r="B41" s="158">
        <f>'18'!F41</f>
        <v>0</v>
      </c>
      <c r="C41" s="159"/>
      <c r="D41" s="162">
        <f t="shared" si="7"/>
        <v>0</v>
      </c>
      <c r="E41" s="161"/>
      <c r="F41" s="282">
        <f t="shared" si="8"/>
        <v>0</v>
      </c>
      <c r="G41" s="72"/>
      <c r="H41" s="59"/>
      <c r="I41" s="59"/>
    </row>
    <row r="42" spans="1:10" ht="146.25" customHeight="1">
      <c r="A42" s="206" t="s">
        <v>145</v>
      </c>
      <c r="B42" s="158">
        <f>'18'!F42</f>
        <v>0</v>
      </c>
      <c r="C42" s="159"/>
      <c r="D42" s="162">
        <f t="shared" si="7"/>
        <v>0</v>
      </c>
      <c r="E42" s="161"/>
      <c r="F42" s="282">
        <f t="shared" si="8"/>
        <v>0</v>
      </c>
      <c r="G42" s="72"/>
      <c r="H42" s="59"/>
      <c r="I42" s="59"/>
    </row>
    <row r="43" spans="1:10" ht="146.25" customHeight="1">
      <c r="A43" s="206" t="s">
        <v>86</v>
      </c>
      <c r="B43" s="158">
        <f>'18'!F43</f>
        <v>0</v>
      </c>
      <c r="C43" s="159"/>
      <c r="D43" s="162">
        <f t="shared" si="7"/>
        <v>0</v>
      </c>
      <c r="E43" s="161"/>
      <c r="F43" s="282">
        <f t="shared" si="8"/>
        <v>0</v>
      </c>
      <c r="G43" s="75"/>
      <c r="H43" s="76"/>
      <c r="I43" s="59"/>
      <c r="J43" s="124"/>
    </row>
    <row r="44" spans="1:10" ht="146.25" customHeight="1">
      <c r="A44" s="206" t="s">
        <v>146</v>
      </c>
      <c r="B44" s="158">
        <f>'18'!F44</f>
        <v>10</v>
      </c>
      <c r="C44" s="159"/>
      <c r="D44" s="162">
        <f t="shared" si="7"/>
        <v>10</v>
      </c>
      <c r="E44" s="161"/>
      <c r="F44" s="282">
        <f t="shared" si="8"/>
        <v>10</v>
      </c>
      <c r="G44" s="73"/>
      <c r="H44" s="74"/>
      <c r="I44" s="74"/>
    </row>
    <row r="45" spans="1:10" ht="146.25" customHeight="1">
      <c r="A45" s="206" t="s">
        <v>147</v>
      </c>
      <c r="B45" s="158">
        <f>'18'!F45</f>
        <v>0</v>
      </c>
      <c r="C45" s="159"/>
      <c r="D45" s="162">
        <f t="shared" si="7"/>
        <v>0</v>
      </c>
      <c r="E45" s="161"/>
      <c r="F45" s="282">
        <f t="shared" si="8"/>
        <v>0</v>
      </c>
      <c r="G45" s="77"/>
      <c r="H45" s="57"/>
      <c r="I45" s="76"/>
    </row>
    <row r="46" spans="1:10" ht="146.25" customHeight="1">
      <c r="A46" s="210" t="s">
        <v>148</v>
      </c>
      <c r="B46" s="158">
        <f>'18'!F46</f>
        <v>0</v>
      </c>
      <c r="C46" s="159"/>
      <c r="D46" s="162">
        <f t="shared" si="7"/>
        <v>0</v>
      </c>
      <c r="E46" s="161"/>
      <c r="F46" s="282">
        <f t="shared" si="8"/>
        <v>0</v>
      </c>
      <c r="G46" s="79"/>
      <c r="H46" s="57"/>
      <c r="I46" s="76"/>
    </row>
    <row r="47" spans="1:10" ht="166.5" customHeight="1">
      <c r="A47" s="212" t="s">
        <v>92</v>
      </c>
      <c r="B47" s="158">
        <f>'18'!F47</f>
        <v>0</v>
      </c>
      <c r="C47" s="159"/>
      <c r="D47" s="163">
        <f t="shared" si="7"/>
        <v>0</v>
      </c>
      <c r="E47" s="161"/>
      <c r="F47" s="283">
        <f t="shared" si="8"/>
        <v>0</v>
      </c>
      <c r="G47" s="278"/>
      <c r="H47" s="57"/>
      <c r="I47" s="59"/>
    </row>
    <row r="48" spans="1:10" ht="114.75" customHeight="1">
      <c r="A48" s="83"/>
      <c r="B48" s="284"/>
      <c r="C48" s="284"/>
      <c r="D48" s="284"/>
      <c r="E48" s="284"/>
      <c r="F48" s="285"/>
      <c r="G48" s="286"/>
      <c r="H48" s="57"/>
      <c r="I48" s="110"/>
      <c r="J48" s="57"/>
    </row>
    <row r="49" spans="1:11" ht="114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14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14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109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L53"/>
  <sheetViews>
    <sheetView tabSelected="1" zoomScale="25" zoomScaleNormal="25" workbookViewId="0">
      <selection activeCell="H31" sqref="H31:I31"/>
    </sheetView>
  </sheetViews>
  <sheetFormatPr defaultColWidth="9" defaultRowHeight="33.75"/>
  <cols>
    <col min="1" max="1" width="89.140625" style="3" customWidth="1"/>
    <col min="2" max="2" width="60" style="3" customWidth="1"/>
    <col min="3" max="5" width="48" style="3" customWidth="1"/>
    <col min="6" max="6" width="64.5703125" style="3" customWidth="1"/>
    <col min="7" max="7" width="60.5703125" style="3" customWidth="1"/>
    <col min="8" max="8" width="57.140625" style="3" customWidth="1"/>
    <col min="9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 thickBot="1">
      <c r="A2" s="250" t="s">
        <v>160</v>
      </c>
      <c r="B2" s="251" t="s">
        <v>177</v>
      </c>
      <c r="C2" s="893"/>
      <c r="D2" s="893"/>
      <c r="E2" s="893"/>
      <c r="F2" s="893"/>
      <c r="G2" s="252" t="s">
        <v>107</v>
      </c>
      <c r="H2" s="186">
        <v>46254</v>
      </c>
      <c r="I2" s="877"/>
      <c r="J2" s="877"/>
      <c r="K2" s="877"/>
      <c r="L2" s="878"/>
    </row>
    <row r="3" spans="1:12" ht="152.25" customHeight="1" thickBo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 thickBot="1">
      <c r="A4" s="894"/>
      <c r="B4" s="895"/>
      <c r="C4" s="14">
        <v>23.5</v>
      </c>
      <c r="D4" s="14">
        <v>0.5</v>
      </c>
      <c r="E4" s="14">
        <v>0</v>
      </c>
      <c r="F4" s="14">
        <v>0</v>
      </c>
      <c r="G4" s="15">
        <f>SUM(C4,D4,E4,F4)</f>
        <v>24</v>
      </c>
      <c r="H4" s="196"/>
      <c r="I4" s="881"/>
      <c r="J4" s="881"/>
      <c r="K4" s="881"/>
      <c r="L4" s="882"/>
    </row>
    <row r="5" spans="1:12" ht="185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 thickBot="1">
      <c r="A6" s="217" t="s">
        <v>161</v>
      </c>
      <c r="B6" s="132">
        <f>'19'!I6</f>
        <v>316</v>
      </c>
      <c r="C6" s="133">
        <v>250</v>
      </c>
      <c r="D6" s="134">
        <f t="shared" ref="D6:D15" si="0">B6+C6</f>
        <v>566</v>
      </c>
      <c r="E6" s="135">
        <v>250</v>
      </c>
      <c r="F6" s="136">
        <v>24</v>
      </c>
      <c r="G6" s="137">
        <f>'19'!H6</f>
        <v>25450.100000000002</v>
      </c>
      <c r="H6" s="138">
        <f>SUM(G6,F6)</f>
        <v>25474.100000000002</v>
      </c>
      <c r="I6" s="165">
        <f>D6-E6</f>
        <v>316</v>
      </c>
      <c r="J6" s="166">
        <f t="shared" ref="J6:J27" si="1">E6/F6</f>
        <v>10.416666666666666</v>
      </c>
      <c r="K6" s="904"/>
      <c r="L6" s="905"/>
    </row>
    <row r="7" spans="1:12" ht="152.25" customHeight="1" thickBot="1">
      <c r="A7" s="217" t="s">
        <v>162</v>
      </c>
      <c r="B7" s="132">
        <f>'19'!I7</f>
        <v>151</v>
      </c>
      <c r="C7" s="133">
        <v>0</v>
      </c>
      <c r="D7" s="139">
        <f t="shared" si="0"/>
        <v>151</v>
      </c>
      <c r="E7" s="135">
        <v>71</v>
      </c>
      <c r="F7" s="136">
        <v>3.5</v>
      </c>
      <c r="G7" s="137">
        <f>'19'!H7</f>
        <v>1531.5</v>
      </c>
      <c r="H7" s="134">
        <f>SUM(G7,F7)</f>
        <v>1535</v>
      </c>
      <c r="I7" s="167">
        <f t="shared" ref="I7:I27" si="2">D7-E7</f>
        <v>80</v>
      </c>
      <c r="J7" s="168">
        <f t="shared" si="1"/>
        <v>20.285714285714285</v>
      </c>
      <c r="K7" s="904"/>
      <c r="L7" s="905"/>
    </row>
    <row r="8" spans="1:12" ht="209.25" customHeight="1" thickBot="1">
      <c r="A8" s="217" t="s">
        <v>163</v>
      </c>
      <c r="B8" s="132">
        <f>'19'!I8</f>
        <v>133</v>
      </c>
      <c r="C8" s="133">
        <v>70</v>
      </c>
      <c r="D8" s="139">
        <f t="shared" si="0"/>
        <v>203</v>
      </c>
      <c r="E8" s="135">
        <v>80</v>
      </c>
      <c r="F8" s="136">
        <v>12</v>
      </c>
      <c r="G8" s="137">
        <f>'19'!H8</f>
        <v>1489</v>
      </c>
      <c r="H8" s="134">
        <f t="shared" ref="H8:H27" si="3">SUM(G8,F8)</f>
        <v>1501</v>
      </c>
      <c r="I8" s="167">
        <f t="shared" si="2"/>
        <v>123</v>
      </c>
      <c r="J8" s="168">
        <f t="shared" si="1"/>
        <v>6.666666666666667</v>
      </c>
      <c r="K8" s="862"/>
      <c r="L8" s="863"/>
    </row>
    <row r="9" spans="1:12" ht="182.25" customHeight="1" thickBot="1">
      <c r="A9" s="217" t="s">
        <v>164</v>
      </c>
      <c r="B9" s="132">
        <f>'19'!I9</f>
        <v>134</v>
      </c>
      <c r="C9" s="133">
        <v>35</v>
      </c>
      <c r="D9" s="139">
        <f t="shared" si="0"/>
        <v>169</v>
      </c>
      <c r="E9" s="135">
        <v>74</v>
      </c>
      <c r="F9" s="136">
        <v>12</v>
      </c>
      <c r="G9" s="137">
        <f>'19'!H9</f>
        <v>3358</v>
      </c>
      <c r="H9" s="134">
        <f t="shared" si="3"/>
        <v>3370</v>
      </c>
      <c r="I9" s="167">
        <f t="shared" si="2"/>
        <v>95</v>
      </c>
      <c r="J9" s="168">
        <f t="shared" si="1"/>
        <v>6.166666666666667</v>
      </c>
      <c r="K9" s="862"/>
      <c r="L9" s="863"/>
    </row>
    <row r="10" spans="1:12" ht="197.25" customHeight="1" thickBot="1">
      <c r="A10" s="217" t="s">
        <v>165</v>
      </c>
      <c r="B10" s="132">
        <f>'19'!I10</f>
        <v>26</v>
      </c>
      <c r="C10" s="133">
        <v>0</v>
      </c>
      <c r="D10" s="139">
        <f t="shared" si="0"/>
        <v>26</v>
      </c>
      <c r="E10" s="135">
        <v>0</v>
      </c>
      <c r="F10" s="136">
        <v>0</v>
      </c>
      <c r="G10" s="137">
        <f>'19'!H10</f>
        <v>97</v>
      </c>
      <c r="H10" s="134">
        <f t="shared" si="3"/>
        <v>97</v>
      </c>
      <c r="I10" s="167">
        <f t="shared" si="2"/>
        <v>26</v>
      </c>
      <c r="J10" s="168" t="e">
        <f t="shared" si="1"/>
        <v>#DIV/0!</v>
      </c>
      <c r="K10" s="862"/>
      <c r="L10" s="863"/>
    </row>
    <row r="11" spans="1:12" ht="176.25" customHeight="1">
      <c r="A11" s="217" t="s">
        <v>166</v>
      </c>
      <c r="B11" s="132">
        <f>'19'!I11</f>
        <v>0</v>
      </c>
      <c r="C11" s="133">
        <v>0</v>
      </c>
      <c r="D11" s="139">
        <f t="shared" si="0"/>
        <v>0</v>
      </c>
      <c r="E11" s="135">
        <v>0</v>
      </c>
      <c r="F11" s="136">
        <v>0</v>
      </c>
      <c r="G11" s="137">
        <f>'19'!H11</f>
        <v>0</v>
      </c>
      <c r="H11" s="134">
        <f t="shared" si="3"/>
        <v>0</v>
      </c>
      <c r="I11" s="167">
        <f t="shared" si="2"/>
        <v>0</v>
      </c>
      <c r="J11" s="168" t="e">
        <f t="shared" si="1"/>
        <v>#DIV/0!</v>
      </c>
      <c r="K11" s="862"/>
      <c r="L11" s="863"/>
    </row>
    <row r="12" spans="1:12" ht="212.25" customHeight="1">
      <c r="A12" s="217" t="s">
        <v>5</v>
      </c>
      <c r="B12" s="132">
        <f>'19'!I12</f>
        <v>0</v>
      </c>
      <c r="C12" s="133">
        <v>0</v>
      </c>
      <c r="D12" s="139">
        <f t="shared" si="0"/>
        <v>0</v>
      </c>
      <c r="E12" s="135">
        <v>0</v>
      </c>
      <c r="F12" s="136">
        <v>0</v>
      </c>
      <c r="G12" s="137">
        <f>'19'!H12</f>
        <v>0</v>
      </c>
      <c r="H12" s="134">
        <f t="shared" si="3"/>
        <v>0</v>
      </c>
      <c r="I12" s="167">
        <f t="shared" si="2"/>
        <v>0</v>
      </c>
      <c r="J12" s="168" t="e">
        <f t="shared" si="1"/>
        <v>#DIV/0!</v>
      </c>
      <c r="K12" s="862"/>
      <c r="L12" s="863"/>
    </row>
    <row r="13" spans="1:12" ht="152.25" customHeight="1" thickBot="1">
      <c r="A13" s="217" t="s">
        <v>167</v>
      </c>
      <c r="B13" s="132">
        <f>'19'!I13</f>
        <v>38</v>
      </c>
      <c r="C13" s="133">
        <v>0</v>
      </c>
      <c r="D13" s="139">
        <f t="shared" si="0"/>
        <v>38</v>
      </c>
      <c r="E13" s="135">
        <v>3</v>
      </c>
      <c r="F13" s="136">
        <v>1</v>
      </c>
      <c r="G13" s="137">
        <f>'19'!H13</f>
        <v>14</v>
      </c>
      <c r="H13" s="134">
        <f t="shared" si="3"/>
        <v>15</v>
      </c>
      <c r="I13" s="167">
        <f t="shared" si="2"/>
        <v>35</v>
      </c>
      <c r="J13" s="168">
        <f t="shared" si="1"/>
        <v>3</v>
      </c>
      <c r="K13" s="862"/>
      <c r="L13" s="863"/>
    </row>
    <row r="14" spans="1:12" ht="152.25" customHeight="1" thickBot="1">
      <c r="A14" s="219" t="s">
        <v>168</v>
      </c>
      <c r="B14" s="132">
        <f>'19'!I14</f>
        <v>0</v>
      </c>
      <c r="C14" s="133">
        <v>0</v>
      </c>
      <c r="D14" s="139">
        <f t="shared" si="0"/>
        <v>0</v>
      </c>
      <c r="E14" s="135">
        <v>0</v>
      </c>
      <c r="F14" s="136">
        <v>0</v>
      </c>
      <c r="G14" s="137">
        <f>'19'!H14</f>
        <v>0</v>
      </c>
      <c r="H14" s="134">
        <f t="shared" si="3"/>
        <v>0</v>
      </c>
      <c r="I14" s="167">
        <f t="shared" si="2"/>
        <v>0</v>
      </c>
      <c r="J14" s="168" t="e">
        <f t="shared" si="1"/>
        <v>#DIV/0!</v>
      </c>
      <c r="K14" s="862"/>
      <c r="L14" s="863"/>
    </row>
    <row r="15" spans="1:12" ht="152.25" customHeight="1" thickBot="1">
      <c r="A15" s="219" t="s">
        <v>169</v>
      </c>
      <c r="B15" s="132">
        <f>'19'!I15</f>
        <v>0</v>
      </c>
      <c r="C15" s="133">
        <v>0</v>
      </c>
      <c r="D15" s="139">
        <f t="shared" si="0"/>
        <v>0</v>
      </c>
      <c r="E15" s="135">
        <v>0</v>
      </c>
      <c r="F15" s="136">
        <v>0</v>
      </c>
      <c r="G15" s="137">
        <f>'19'!H15</f>
        <v>0</v>
      </c>
      <c r="H15" s="134">
        <f t="shared" si="3"/>
        <v>0</v>
      </c>
      <c r="I15" s="167">
        <f t="shared" si="2"/>
        <v>0</v>
      </c>
      <c r="J15" s="168" t="e">
        <f t="shared" si="1"/>
        <v>#DIV/0!</v>
      </c>
      <c r="K15" s="862"/>
      <c r="L15" s="863"/>
    </row>
    <row r="16" spans="1:12" ht="152.25" customHeight="1">
      <c r="A16" s="219" t="s">
        <v>170</v>
      </c>
      <c r="B16" s="132">
        <f>'19'!I16</f>
        <v>0</v>
      </c>
      <c r="C16" s="133">
        <v>0</v>
      </c>
      <c r="D16" s="139">
        <f t="shared" ref="D16:D27" si="4">C16+B16</f>
        <v>0</v>
      </c>
      <c r="E16" s="135">
        <v>0</v>
      </c>
      <c r="F16" s="136">
        <v>0</v>
      </c>
      <c r="G16" s="137">
        <f>'19'!H16</f>
        <v>0</v>
      </c>
      <c r="H16" s="134">
        <f t="shared" si="3"/>
        <v>0</v>
      </c>
      <c r="I16" s="167">
        <f t="shared" si="2"/>
        <v>0</v>
      </c>
      <c r="J16" s="168" t="e">
        <f t="shared" si="1"/>
        <v>#DIV/0!</v>
      </c>
      <c r="K16" s="862"/>
      <c r="L16" s="863"/>
    </row>
    <row r="17" spans="1:12" ht="152.25" customHeight="1">
      <c r="A17" s="219" t="s">
        <v>171</v>
      </c>
      <c r="B17" s="132">
        <f>'19'!I17</f>
        <v>25</v>
      </c>
      <c r="C17" s="133">
        <v>0</v>
      </c>
      <c r="D17" s="139">
        <f t="shared" si="4"/>
        <v>25</v>
      </c>
      <c r="E17" s="135">
        <v>25</v>
      </c>
      <c r="F17" s="136">
        <v>0</v>
      </c>
      <c r="G17" s="137">
        <f>'19'!H17</f>
        <v>0</v>
      </c>
      <c r="H17" s="134">
        <f t="shared" si="3"/>
        <v>0</v>
      </c>
      <c r="I17" s="167">
        <f t="shared" si="2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20" t="s">
        <v>11</v>
      </c>
      <c r="B18" s="132">
        <f>'19'!I18</f>
        <v>0</v>
      </c>
      <c r="C18" s="133">
        <v>0</v>
      </c>
      <c r="D18" s="139">
        <f t="shared" si="4"/>
        <v>0</v>
      </c>
      <c r="E18" s="135">
        <v>0</v>
      </c>
      <c r="F18" s="136">
        <v>0</v>
      </c>
      <c r="G18" s="137">
        <f>'19'!H18</f>
        <v>0</v>
      </c>
      <c r="H18" s="134">
        <f t="shared" si="3"/>
        <v>0</v>
      </c>
      <c r="I18" s="167">
        <f t="shared" si="2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255">
        <f>'19'!I19</f>
        <v>0</v>
      </c>
      <c r="C19" s="256"/>
      <c r="D19" s="257">
        <f t="shared" si="4"/>
        <v>0</v>
      </c>
      <c r="E19" s="258"/>
      <c r="F19" s="259"/>
      <c r="G19" s="260">
        <f>'19'!H19</f>
        <v>0</v>
      </c>
      <c r="H19" s="261">
        <f t="shared" si="3"/>
        <v>0</v>
      </c>
      <c r="I19" s="273">
        <f t="shared" si="2"/>
        <v>0</v>
      </c>
      <c r="J19" s="274" t="e">
        <f t="shared" si="1"/>
        <v>#DIV/0!</v>
      </c>
      <c r="K19" s="862"/>
      <c r="L19" s="863"/>
    </row>
    <row r="20" spans="1:12" ht="152.25" hidden="1" customHeight="1">
      <c r="A20" s="197"/>
      <c r="B20" s="255">
        <f>'19'!I20</f>
        <v>0</v>
      </c>
      <c r="C20" s="256"/>
      <c r="D20" s="257">
        <f t="shared" si="4"/>
        <v>0</v>
      </c>
      <c r="E20" s="258"/>
      <c r="F20" s="259"/>
      <c r="G20" s="260">
        <f>'19'!H20</f>
        <v>0</v>
      </c>
      <c r="H20" s="261">
        <f t="shared" si="3"/>
        <v>0</v>
      </c>
      <c r="I20" s="273">
        <f t="shared" si="2"/>
        <v>0</v>
      </c>
      <c r="J20" s="274" t="e">
        <f t="shared" si="1"/>
        <v>#DIV/0!</v>
      </c>
      <c r="K20" s="862"/>
      <c r="L20" s="863"/>
    </row>
    <row r="21" spans="1:12" ht="152.25" hidden="1" customHeight="1">
      <c r="A21" s="197"/>
      <c r="B21" s="255">
        <f>'19'!I21</f>
        <v>0</v>
      </c>
      <c r="C21" s="256"/>
      <c r="D21" s="257">
        <f t="shared" si="4"/>
        <v>0</v>
      </c>
      <c r="E21" s="258"/>
      <c r="F21" s="259"/>
      <c r="G21" s="260">
        <f>'19'!H21</f>
        <v>0</v>
      </c>
      <c r="H21" s="261">
        <f t="shared" si="3"/>
        <v>0</v>
      </c>
      <c r="I21" s="273">
        <f t="shared" si="2"/>
        <v>0</v>
      </c>
      <c r="J21" s="274" t="e">
        <f t="shared" si="1"/>
        <v>#DIV/0!</v>
      </c>
      <c r="K21" s="862"/>
      <c r="L21" s="863"/>
    </row>
    <row r="22" spans="1:12" ht="152.25" hidden="1" customHeight="1">
      <c r="A22" s="197"/>
      <c r="B22" s="255">
        <f>'19'!I22</f>
        <v>0</v>
      </c>
      <c r="C22" s="256"/>
      <c r="D22" s="257">
        <f t="shared" si="4"/>
        <v>0</v>
      </c>
      <c r="E22" s="258"/>
      <c r="F22" s="259"/>
      <c r="G22" s="260">
        <f>'19'!H22</f>
        <v>0</v>
      </c>
      <c r="H22" s="261">
        <f t="shared" si="3"/>
        <v>0</v>
      </c>
      <c r="I22" s="273">
        <f t="shared" si="2"/>
        <v>0</v>
      </c>
      <c r="J22" s="274" t="e">
        <f t="shared" si="1"/>
        <v>#DIV/0!</v>
      </c>
      <c r="K22" s="862"/>
      <c r="L22" s="863"/>
    </row>
    <row r="23" spans="1:12" ht="152.25" hidden="1" customHeight="1">
      <c r="A23" s="197"/>
      <c r="B23" s="255">
        <f>'19'!I23</f>
        <v>0</v>
      </c>
      <c r="C23" s="262"/>
      <c r="D23" s="257">
        <f t="shared" si="4"/>
        <v>0</v>
      </c>
      <c r="E23" s="263"/>
      <c r="F23" s="264"/>
      <c r="G23" s="260">
        <f>'19'!H23</f>
        <v>0</v>
      </c>
      <c r="H23" s="261">
        <f t="shared" si="3"/>
        <v>0</v>
      </c>
      <c r="I23" s="273">
        <f t="shared" si="2"/>
        <v>0</v>
      </c>
      <c r="J23" s="274" t="e">
        <f t="shared" si="1"/>
        <v>#DIV/0!</v>
      </c>
      <c r="K23" s="862"/>
      <c r="L23" s="863"/>
    </row>
    <row r="24" spans="1:12" ht="152.25" hidden="1" customHeight="1">
      <c r="A24" s="197"/>
      <c r="B24" s="255">
        <f>'19'!I24</f>
        <v>0</v>
      </c>
      <c r="C24" s="262"/>
      <c r="D24" s="257">
        <f t="shared" si="4"/>
        <v>0</v>
      </c>
      <c r="E24" s="263"/>
      <c r="F24" s="264"/>
      <c r="G24" s="260">
        <f>'19'!H24</f>
        <v>0</v>
      </c>
      <c r="H24" s="261">
        <f t="shared" si="3"/>
        <v>0</v>
      </c>
      <c r="I24" s="273">
        <f t="shared" si="2"/>
        <v>0</v>
      </c>
      <c r="J24" s="274" t="e">
        <f t="shared" si="1"/>
        <v>#DIV/0!</v>
      </c>
      <c r="K24" s="862"/>
      <c r="L24" s="863"/>
    </row>
    <row r="25" spans="1:12" ht="152.25" hidden="1" customHeight="1">
      <c r="A25" s="197"/>
      <c r="B25" s="255">
        <f>'19'!I25</f>
        <v>0</v>
      </c>
      <c r="C25" s="262"/>
      <c r="D25" s="257">
        <f t="shared" si="4"/>
        <v>0</v>
      </c>
      <c r="E25" s="263"/>
      <c r="F25" s="264"/>
      <c r="G25" s="260">
        <f>'19'!H25</f>
        <v>0</v>
      </c>
      <c r="H25" s="261">
        <f t="shared" si="3"/>
        <v>0</v>
      </c>
      <c r="I25" s="273">
        <f t="shared" si="2"/>
        <v>0</v>
      </c>
      <c r="J25" s="274" t="e">
        <f t="shared" si="1"/>
        <v>#DIV/0!</v>
      </c>
      <c r="K25" s="862"/>
      <c r="L25" s="863"/>
    </row>
    <row r="26" spans="1:12" ht="152.25" hidden="1" customHeight="1">
      <c r="A26" s="197"/>
      <c r="B26" s="255">
        <f>'19'!I26</f>
        <v>0</v>
      </c>
      <c r="C26" s="265"/>
      <c r="D26" s="266">
        <f t="shared" si="4"/>
        <v>0</v>
      </c>
      <c r="E26" s="267"/>
      <c r="F26" s="268"/>
      <c r="G26" s="260">
        <f>'19'!H26</f>
        <v>0</v>
      </c>
      <c r="H26" s="269">
        <f t="shared" si="3"/>
        <v>0</v>
      </c>
      <c r="I26" s="275">
        <f t="shared" si="2"/>
        <v>0</v>
      </c>
      <c r="J26" s="276" t="e">
        <f t="shared" si="1"/>
        <v>#DIV/0!</v>
      </c>
      <c r="K26" s="862"/>
      <c r="L26" s="863"/>
    </row>
    <row r="27" spans="1:12" ht="152.25" hidden="1" customHeight="1">
      <c r="A27" s="198"/>
      <c r="B27" s="255">
        <f>'19'!I27</f>
        <v>0</v>
      </c>
      <c r="C27" s="270"/>
      <c r="D27" s="266">
        <f t="shared" si="4"/>
        <v>0</v>
      </c>
      <c r="E27" s="270"/>
      <c r="F27" s="268"/>
      <c r="G27" s="260">
        <f>'19'!H27</f>
        <v>0</v>
      </c>
      <c r="H27" s="269">
        <f t="shared" si="3"/>
        <v>0</v>
      </c>
      <c r="I27" s="275">
        <f t="shared" si="2"/>
        <v>0</v>
      </c>
      <c r="J27" s="277" t="e">
        <f t="shared" si="1"/>
        <v>#DIV/0!</v>
      </c>
      <c r="K27" s="214"/>
      <c r="L27" s="215"/>
    </row>
    <row r="28" spans="1:12" ht="152.25" customHeight="1" thickBot="1">
      <c r="A28" s="40" t="s">
        <v>114</v>
      </c>
      <c r="B28" s="41"/>
      <c r="C28" s="40">
        <f>SUM(C6:C27)</f>
        <v>355</v>
      </c>
      <c r="D28" s="40">
        <f t="shared" ref="D28:F28" si="5">SUM(D6:D27)</f>
        <v>1178</v>
      </c>
      <c r="E28" s="40">
        <f t="shared" si="5"/>
        <v>503</v>
      </c>
      <c r="F28" s="40">
        <f t="shared" si="5"/>
        <v>52.5</v>
      </c>
      <c r="G28" s="883"/>
      <c r="H28" s="884"/>
      <c r="I28" s="40">
        <f t="shared" ref="I28" si="6">SUM(I6:I27)</f>
        <v>675</v>
      </c>
      <c r="J28" s="111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194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'19'!G31</f>
        <v>90</v>
      </c>
      <c r="C31" s="154">
        <v>800</v>
      </c>
      <c r="D31" s="17">
        <f>SUM(B31:C31)</f>
        <v>890</v>
      </c>
      <c r="E31" s="155">
        <f>C28</f>
        <v>355</v>
      </c>
      <c r="F31" s="17">
        <f>E28</f>
        <v>503</v>
      </c>
      <c r="G31" s="156">
        <f>D31-E31</f>
        <v>535</v>
      </c>
      <c r="H31" s="889"/>
      <c r="I31" s="890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891"/>
      <c r="I32" s="892"/>
      <c r="J32" s="121"/>
    </row>
    <row r="33" spans="1:10" s="1" customForma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31.2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31.2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39.5">
      <c r="A36" s="205" t="s">
        <v>139</v>
      </c>
      <c r="B36" s="158">
        <f>'19'!F36</f>
        <v>62</v>
      </c>
      <c r="C36" s="159"/>
      <c r="D36" s="160">
        <f>SUM(B36:C36)</f>
        <v>62</v>
      </c>
      <c r="E36" s="161">
        <v>5</v>
      </c>
      <c r="F36" s="160">
        <f>D36-E36</f>
        <v>57</v>
      </c>
      <c r="G36" s="295" t="s">
        <v>243</v>
      </c>
      <c r="H36" s="59"/>
      <c r="I36" s="59"/>
    </row>
    <row r="37" spans="1:10" ht="131.25" customHeight="1">
      <c r="A37" s="206" t="s">
        <v>140</v>
      </c>
      <c r="B37" s="158">
        <f>'19'!F37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190"/>
      <c r="H37" s="59"/>
      <c r="I37" s="59"/>
    </row>
    <row r="38" spans="1:10" ht="131.25" customHeight="1">
      <c r="A38" s="206" t="s">
        <v>141</v>
      </c>
      <c r="B38" s="158">
        <f>'19'!F38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207"/>
      <c r="H38" s="74"/>
      <c r="I38" s="74"/>
    </row>
    <row r="39" spans="1:10" ht="131.25" customHeight="1">
      <c r="A39" s="206" t="s">
        <v>142</v>
      </c>
      <c r="B39" s="158">
        <f>'19'!F39</f>
        <v>8</v>
      </c>
      <c r="C39" s="159"/>
      <c r="D39" s="162">
        <f t="shared" si="7"/>
        <v>8</v>
      </c>
      <c r="E39" s="161">
        <v>5</v>
      </c>
      <c r="F39" s="162">
        <f t="shared" si="8"/>
        <v>3</v>
      </c>
      <c r="G39" s="190" t="s">
        <v>209</v>
      </c>
      <c r="H39" s="59"/>
      <c r="I39" s="59"/>
    </row>
    <row r="40" spans="1:10" ht="131.25" customHeight="1">
      <c r="A40" s="206" t="s">
        <v>143</v>
      </c>
      <c r="B40" s="158">
        <f>'19'!F40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190"/>
      <c r="H40" s="59"/>
      <c r="I40" s="59"/>
    </row>
    <row r="41" spans="1:10" ht="131.25" customHeight="1">
      <c r="A41" s="206" t="s">
        <v>144</v>
      </c>
      <c r="B41" s="158">
        <f>'19'!F41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190"/>
      <c r="H41" s="59"/>
      <c r="I41" s="59"/>
    </row>
    <row r="42" spans="1:10" ht="131.25" customHeight="1">
      <c r="A42" s="206" t="s">
        <v>145</v>
      </c>
      <c r="B42" s="158">
        <f>'19'!F42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190"/>
      <c r="H42" s="59"/>
      <c r="I42" s="59"/>
    </row>
    <row r="43" spans="1:10" ht="131.25" customHeight="1">
      <c r="A43" s="206" t="s">
        <v>86</v>
      </c>
      <c r="B43" s="158">
        <f>'19'!F43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208"/>
      <c r="H43" s="76"/>
      <c r="I43" s="59"/>
      <c r="J43" s="124"/>
    </row>
    <row r="44" spans="1:10" ht="131.25" customHeight="1">
      <c r="A44" s="206" t="s">
        <v>146</v>
      </c>
      <c r="B44" s="158">
        <f>'19'!F44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207"/>
      <c r="H44" s="74"/>
      <c r="I44" s="74"/>
    </row>
    <row r="45" spans="1:10" ht="131.25" customHeight="1">
      <c r="A45" s="206" t="s">
        <v>147</v>
      </c>
      <c r="B45" s="158">
        <f>'19'!F45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209"/>
      <c r="H45" s="57"/>
      <c r="I45" s="76"/>
    </row>
    <row r="46" spans="1:10" ht="104.25" customHeight="1">
      <c r="A46" s="210" t="s">
        <v>148</v>
      </c>
      <c r="B46" s="158">
        <f>'19'!F46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211"/>
      <c r="H46" s="57"/>
      <c r="I46" s="76"/>
    </row>
    <row r="47" spans="1:10" ht="92.25">
      <c r="A47" s="212" t="s">
        <v>92</v>
      </c>
      <c r="B47" s="158">
        <f>'19'!F47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278"/>
      <c r="H47" s="57"/>
      <c r="I47" s="59"/>
    </row>
    <row r="48" spans="1:10" ht="109.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09.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09.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09.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94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" right="0.7" top="0.75" bottom="0.75" header="0.3" footer="0.3"/>
  <pageSetup scale="11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L53"/>
  <sheetViews>
    <sheetView topLeftCell="A43" zoomScale="25" zoomScaleNormal="25" workbookViewId="0">
      <selection activeCell="C31" sqref="C31"/>
    </sheetView>
  </sheetViews>
  <sheetFormatPr defaultColWidth="9" defaultRowHeight="33.75"/>
  <cols>
    <col min="1" max="1" width="95" style="3" customWidth="1"/>
    <col min="2" max="2" width="60" style="3" customWidth="1"/>
    <col min="3" max="5" width="48" style="3" customWidth="1"/>
    <col min="6" max="6" width="62.85546875" style="3" customWidth="1"/>
    <col min="7" max="7" width="61.5703125" style="3" customWidth="1"/>
    <col min="8" max="8" width="57.140625" style="3" customWidth="1"/>
    <col min="9" max="9" width="48" style="3" customWidth="1"/>
    <col min="10" max="10" width="59.42578125" style="3" customWidth="1"/>
    <col min="11" max="12" width="48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250" t="s">
        <v>160</v>
      </c>
      <c r="B2" s="251" t="s">
        <v>176</v>
      </c>
      <c r="C2" s="893"/>
      <c r="D2" s="893"/>
      <c r="E2" s="893"/>
      <c r="F2" s="893"/>
      <c r="G2" s="252" t="s">
        <v>107</v>
      </c>
      <c r="H2" s="186">
        <v>46255</v>
      </c>
      <c r="I2" s="877"/>
      <c r="J2" s="877"/>
      <c r="K2" s="877"/>
      <c r="L2" s="878"/>
    </row>
    <row r="3" spans="1:12" ht="152.25" customHeight="1">
      <c r="A3" s="195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>
        <v>0</v>
      </c>
      <c r="D4" s="14">
        <v>0</v>
      </c>
      <c r="E4" s="14">
        <v>0</v>
      </c>
      <c r="F4" s="14">
        <v>0</v>
      </c>
      <c r="G4" s="15">
        <f>SUM(C4,D4,E4,F4)</f>
        <v>0</v>
      </c>
      <c r="H4" s="196"/>
      <c r="I4" s="881"/>
      <c r="J4" s="881"/>
      <c r="K4" s="881"/>
      <c r="L4" s="882"/>
    </row>
    <row r="5" spans="1:12" s="249" customFormat="1" ht="275.25" customHeight="1">
      <c r="A5" s="16" t="s">
        <v>111</v>
      </c>
      <c r="B5" s="17" t="s">
        <v>112</v>
      </c>
      <c r="C5" s="17" t="s">
        <v>113</v>
      </c>
      <c r="D5" s="17" t="s">
        <v>114</v>
      </c>
      <c r="E5" s="17" t="s">
        <v>21</v>
      </c>
      <c r="F5" s="17" t="s">
        <v>115</v>
      </c>
      <c r="G5" s="18" t="s">
        <v>116</v>
      </c>
      <c r="H5" s="17" t="s">
        <v>117</v>
      </c>
      <c r="I5" s="17" t="s">
        <v>118</v>
      </c>
      <c r="J5" s="111" t="s">
        <v>119</v>
      </c>
      <c r="K5" s="928" t="s">
        <v>120</v>
      </c>
      <c r="L5" s="929"/>
    </row>
    <row r="6" spans="1:12" ht="152.25" customHeight="1" thickBot="1">
      <c r="A6" s="217" t="s">
        <v>161</v>
      </c>
      <c r="B6" s="132">
        <f>'20'!I6</f>
        <v>316</v>
      </c>
      <c r="C6" s="133"/>
      <c r="D6" s="134">
        <f t="shared" ref="D6:D15" si="0">B6+C6</f>
        <v>316</v>
      </c>
      <c r="E6" s="135"/>
      <c r="F6" s="136"/>
      <c r="G6" s="137">
        <f>'20'!H6</f>
        <v>25474.100000000002</v>
      </c>
      <c r="H6" s="138">
        <f>SUM(G6,F6)</f>
        <v>25474.100000000002</v>
      </c>
      <c r="I6" s="165">
        <f>D6-E6</f>
        <v>316</v>
      </c>
      <c r="J6" s="166" t="e">
        <f t="shared" ref="J6:J27" si="1">E6/F6</f>
        <v>#DIV/0!</v>
      </c>
      <c r="K6" s="910"/>
      <c r="L6" s="911"/>
    </row>
    <row r="7" spans="1:12" ht="152.25" customHeight="1" thickBot="1">
      <c r="A7" s="217" t="s">
        <v>162</v>
      </c>
      <c r="B7" s="132">
        <f>'20'!I7</f>
        <v>80</v>
      </c>
      <c r="C7" s="133"/>
      <c r="D7" s="139">
        <f t="shared" si="0"/>
        <v>80</v>
      </c>
      <c r="E7" s="135"/>
      <c r="F7" s="136"/>
      <c r="G7" s="137">
        <f>'20'!H7</f>
        <v>1535</v>
      </c>
      <c r="H7" s="134">
        <f t="shared" ref="H7:H27" si="2">SUM(G7,F7)</f>
        <v>1535</v>
      </c>
      <c r="I7" s="167">
        <f t="shared" ref="I7:I27" si="3">D7-E7</f>
        <v>80</v>
      </c>
      <c r="J7" s="168" t="e">
        <f t="shared" si="1"/>
        <v>#DIV/0!</v>
      </c>
      <c r="K7" s="910"/>
      <c r="L7" s="911"/>
    </row>
    <row r="8" spans="1:12" ht="185.25" customHeight="1" thickBot="1">
      <c r="A8" s="217" t="s">
        <v>163</v>
      </c>
      <c r="B8" s="132">
        <f>'20'!I8</f>
        <v>123</v>
      </c>
      <c r="C8" s="133"/>
      <c r="D8" s="139">
        <f t="shared" si="0"/>
        <v>123</v>
      </c>
      <c r="E8" s="135"/>
      <c r="F8" s="136"/>
      <c r="G8" s="137">
        <f>'20'!H8</f>
        <v>1501</v>
      </c>
      <c r="H8" s="134">
        <f t="shared" si="2"/>
        <v>1501</v>
      </c>
      <c r="I8" s="167">
        <f t="shared" si="3"/>
        <v>123</v>
      </c>
      <c r="J8" s="168" t="e">
        <f t="shared" si="1"/>
        <v>#DIV/0!</v>
      </c>
      <c r="K8" s="862"/>
      <c r="L8" s="863"/>
    </row>
    <row r="9" spans="1:12" ht="179.25" customHeight="1">
      <c r="A9" s="217" t="s">
        <v>164</v>
      </c>
      <c r="B9" s="132">
        <f>'20'!I9</f>
        <v>95</v>
      </c>
      <c r="C9" s="133"/>
      <c r="D9" s="139">
        <f t="shared" si="0"/>
        <v>95</v>
      </c>
      <c r="E9" s="135"/>
      <c r="F9" s="136"/>
      <c r="G9" s="137">
        <f>'20'!H9</f>
        <v>3370</v>
      </c>
      <c r="H9" s="134">
        <f t="shared" si="2"/>
        <v>3370</v>
      </c>
      <c r="I9" s="167">
        <f t="shared" si="3"/>
        <v>95</v>
      </c>
      <c r="J9" s="168" t="e">
        <f t="shared" si="1"/>
        <v>#DIV/0!</v>
      </c>
      <c r="K9" s="862"/>
      <c r="L9" s="863"/>
    </row>
    <row r="10" spans="1:12" ht="152.25" customHeight="1">
      <c r="A10" s="217" t="s">
        <v>165</v>
      </c>
      <c r="B10" s="132">
        <f>'20'!I10</f>
        <v>26</v>
      </c>
      <c r="C10" s="133"/>
      <c r="D10" s="139">
        <f t="shared" si="0"/>
        <v>26</v>
      </c>
      <c r="E10" s="135"/>
      <c r="F10" s="136"/>
      <c r="G10" s="137">
        <f>'20'!H10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200.25" customHeight="1">
      <c r="A11" s="217" t="s">
        <v>166</v>
      </c>
      <c r="B11" s="132">
        <f>'20'!I11</f>
        <v>0</v>
      </c>
      <c r="C11" s="133"/>
      <c r="D11" s="139">
        <f t="shared" si="0"/>
        <v>0</v>
      </c>
      <c r="E11" s="135"/>
      <c r="F11" s="136"/>
      <c r="G11" s="137">
        <f>'20'!H11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7" t="s">
        <v>5</v>
      </c>
      <c r="B12" s="132">
        <f>'20'!I12</f>
        <v>0</v>
      </c>
      <c r="C12" s="133"/>
      <c r="D12" s="139">
        <f t="shared" si="0"/>
        <v>0</v>
      </c>
      <c r="E12" s="135"/>
      <c r="F12" s="136"/>
      <c r="G12" s="137">
        <f>'20'!H12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9" t="s">
        <v>167</v>
      </c>
      <c r="B13" s="132">
        <f>'20'!I13</f>
        <v>35</v>
      </c>
      <c r="C13" s="133"/>
      <c r="D13" s="139">
        <f t="shared" si="0"/>
        <v>35</v>
      </c>
      <c r="E13" s="135"/>
      <c r="F13" s="136"/>
      <c r="G13" s="137">
        <f>'20'!H13</f>
        <v>15</v>
      </c>
      <c r="H13" s="134">
        <f t="shared" si="2"/>
        <v>15</v>
      </c>
      <c r="I13" s="167">
        <f t="shared" si="3"/>
        <v>35</v>
      </c>
      <c r="J13" s="168" t="e">
        <f t="shared" si="1"/>
        <v>#DIV/0!</v>
      </c>
      <c r="K13" s="862"/>
      <c r="L13" s="863"/>
    </row>
    <row r="14" spans="1:12" ht="152.25" customHeight="1">
      <c r="A14" s="219" t="s">
        <v>168</v>
      </c>
      <c r="B14" s="132">
        <f>'20'!I14</f>
        <v>0</v>
      </c>
      <c r="C14" s="133"/>
      <c r="D14" s="139">
        <f t="shared" si="0"/>
        <v>0</v>
      </c>
      <c r="E14" s="135"/>
      <c r="F14" s="136"/>
      <c r="G14" s="137">
        <f>'20'!H14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52.25" customHeight="1">
      <c r="A15" s="219" t="s">
        <v>169</v>
      </c>
      <c r="B15" s="132">
        <f>'20'!I15</f>
        <v>0</v>
      </c>
      <c r="C15" s="133"/>
      <c r="D15" s="139">
        <f t="shared" si="0"/>
        <v>0</v>
      </c>
      <c r="E15" s="135"/>
      <c r="F15" s="136"/>
      <c r="G15" s="137">
        <f>'20'!H15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52.25" customHeight="1">
      <c r="A16" s="219" t="s">
        <v>170</v>
      </c>
      <c r="B16" s="132">
        <f>'20'!I16</f>
        <v>0</v>
      </c>
      <c r="C16" s="133"/>
      <c r="D16" s="139">
        <f t="shared" ref="D16:D27" si="4">C16+B16</f>
        <v>0</v>
      </c>
      <c r="E16" s="135"/>
      <c r="F16" s="136"/>
      <c r="G16" s="137">
        <f>'20'!H16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84.5">
      <c r="A17" s="219" t="s">
        <v>171</v>
      </c>
      <c r="B17" s="132">
        <f>'20'!I17</f>
        <v>0</v>
      </c>
      <c r="C17" s="133"/>
      <c r="D17" s="139">
        <f t="shared" si="4"/>
        <v>0</v>
      </c>
      <c r="E17" s="135"/>
      <c r="F17" s="136"/>
      <c r="G17" s="137">
        <f>'20'!H17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20" t="s">
        <v>11</v>
      </c>
      <c r="B18" s="132">
        <f>'20'!I18</f>
        <v>0</v>
      </c>
      <c r="C18" s="133"/>
      <c r="D18" s="139">
        <f t="shared" si="4"/>
        <v>0</v>
      </c>
      <c r="E18" s="135"/>
      <c r="F18" s="136"/>
      <c r="G18" s="137">
        <f>'20'!H18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255">
        <f>'20'!I19</f>
        <v>0</v>
      </c>
      <c r="C19" s="256"/>
      <c r="D19" s="257">
        <f t="shared" si="4"/>
        <v>0</v>
      </c>
      <c r="E19" s="258"/>
      <c r="F19" s="259"/>
      <c r="G19" s="260">
        <f>'20'!H19</f>
        <v>0</v>
      </c>
      <c r="H19" s="261">
        <f t="shared" si="2"/>
        <v>0</v>
      </c>
      <c r="I19" s="273">
        <f t="shared" si="3"/>
        <v>0</v>
      </c>
      <c r="J19" s="274" t="e">
        <f t="shared" si="1"/>
        <v>#DIV/0!</v>
      </c>
      <c r="K19" s="862"/>
      <c r="L19" s="863"/>
    </row>
    <row r="20" spans="1:12" ht="152.25" hidden="1" customHeight="1">
      <c r="A20" s="197"/>
      <c r="B20" s="255">
        <f>'20'!I20</f>
        <v>0</v>
      </c>
      <c r="C20" s="256"/>
      <c r="D20" s="257">
        <f t="shared" si="4"/>
        <v>0</v>
      </c>
      <c r="E20" s="258"/>
      <c r="F20" s="259"/>
      <c r="G20" s="260">
        <f>'20'!H20</f>
        <v>0</v>
      </c>
      <c r="H20" s="261">
        <f t="shared" si="2"/>
        <v>0</v>
      </c>
      <c r="I20" s="273">
        <f t="shared" si="3"/>
        <v>0</v>
      </c>
      <c r="J20" s="274" t="e">
        <f t="shared" si="1"/>
        <v>#DIV/0!</v>
      </c>
      <c r="K20" s="862"/>
      <c r="L20" s="863"/>
    </row>
    <row r="21" spans="1:12" ht="152.25" hidden="1" customHeight="1">
      <c r="A21" s="197"/>
      <c r="B21" s="255">
        <f>'20'!I21</f>
        <v>0</v>
      </c>
      <c r="C21" s="256"/>
      <c r="D21" s="257">
        <f t="shared" si="4"/>
        <v>0</v>
      </c>
      <c r="E21" s="258"/>
      <c r="F21" s="259"/>
      <c r="G21" s="260">
        <f>'20'!H21</f>
        <v>0</v>
      </c>
      <c r="H21" s="261">
        <f t="shared" si="2"/>
        <v>0</v>
      </c>
      <c r="I21" s="273">
        <f t="shared" si="3"/>
        <v>0</v>
      </c>
      <c r="J21" s="274" t="e">
        <f t="shared" si="1"/>
        <v>#DIV/0!</v>
      </c>
      <c r="K21" s="862"/>
      <c r="L21" s="863"/>
    </row>
    <row r="22" spans="1:12" ht="152.25" hidden="1" customHeight="1">
      <c r="A22" s="197"/>
      <c r="B22" s="255">
        <f>'20'!I22</f>
        <v>0</v>
      </c>
      <c r="C22" s="256"/>
      <c r="D22" s="257">
        <f t="shared" si="4"/>
        <v>0</v>
      </c>
      <c r="E22" s="258"/>
      <c r="F22" s="259"/>
      <c r="G22" s="260">
        <f>'20'!H22</f>
        <v>0</v>
      </c>
      <c r="H22" s="261">
        <f t="shared" si="2"/>
        <v>0</v>
      </c>
      <c r="I22" s="273">
        <f t="shared" si="3"/>
        <v>0</v>
      </c>
      <c r="J22" s="274" t="e">
        <f t="shared" si="1"/>
        <v>#DIV/0!</v>
      </c>
      <c r="K22" s="862"/>
      <c r="L22" s="863"/>
    </row>
    <row r="23" spans="1:12" ht="152.25" hidden="1" customHeight="1">
      <c r="A23" s="197"/>
      <c r="B23" s="255">
        <f>'20'!I23</f>
        <v>0</v>
      </c>
      <c r="C23" s="262"/>
      <c r="D23" s="257">
        <f t="shared" si="4"/>
        <v>0</v>
      </c>
      <c r="E23" s="263"/>
      <c r="F23" s="264"/>
      <c r="G23" s="260">
        <f>'20'!H23</f>
        <v>0</v>
      </c>
      <c r="H23" s="261">
        <f t="shared" si="2"/>
        <v>0</v>
      </c>
      <c r="I23" s="273">
        <f t="shared" si="3"/>
        <v>0</v>
      </c>
      <c r="J23" s="274" t="e">
        <f t="shared" si="1"/>
        <v>#DIV/0!</v>
      </c>
      <c r="K23" s="862"/>
      <c r="L23" s="863"/>
    </row>
    <row r="24" spans="1:12" ht="152.25" hidden="1" customHeight="1">
      <c r="A24" s="197"/>
      <c r="B24" s="255">
        <f>'20'!I24</f>
        <v>0</v>
      </c>
      <c r="C24" s="262"/>
      <c r="D24" s="257">
        <f t="shared" si="4"/>
        <v>0</v>
      </c>
      <c r="E24" s="263"/>
      <c r="F24" s="264"/>
      <c r="G24" s="260">
        <f>'20'!H24</f>
        <v>0</v>
      </c>
      <c r="H24" s="261">
        <f t="shared" si="2"/>
        <v>0</v>
      </c>
      <c r="I24" s="273">
        <f t="shared" si="3"/>
        <v>0</v>
      </c>
      <c r="J24" s="274" t="e">
        <f t="shared" si="1"/>
        <v>#DIV/0!</v>
      </c>
      <c r="K24" s="862"/>
      <c r="L24" s="863"/>
    </row>
    <row r="25" spans="1:12" ht="152.25" hidden="1" customHeight="1">
      <c r="A25" s="197"/>
      <c r="B25" s="255">
        <f>'20'!I25</f>
        <v>0</v>
      </c>
      <c r="C25" s="262"/>
      <c r="D25" s="257">
        <f t="shared" si="4"/>
        <v>0</v>
      </c>
      <c r="E25" s="263"/>
      <c r="F25" s="264"/>
      <c r="G25" s="260">
        <f>'20'!H25</f>
        <v>0</v>
      </c>
      <c r="H25" s="261">
        <f t="shared" si="2"/>
        <v>0</v>
      </c>
      <c r="I25" s="273">
        <f t="shared" si="3"/>
        <v>0</v>
      </c>
      <c r="J25" s="274" t="e">
        <f t="shared" si="1"/>
        <v>#DIV/0!</v>
      </c>
      <c r="K25" s="862"/>
      <c r="L25" s="863"/>
    </row>
    <row r="26" spans="1:12" ht="152.25" hidden="1" customHeight="1">
      <c r="A26" s="197"/>
      <c r="B26" s="255">
        <f>'20'!I26</f>
        <v>0</v>
      </c>
      <c r="C26" s="265"/>
      <c r="D26" s="266">
        <f t="shared" si="4"/>
        <v>0</v>
      </c>
      <c r="E26" s="267"/>
      <c r="F26" s="268"/>
      <c r="G26" s="260">
        <f>'20'!H26</f>
        <v>0</v>
      </c>
      <c r="H26" s="269">
        <f t="shared" si="2"/>
        <v>0</v>
      </c>
      <c r="I26" s="275">
        <f t="shared" si="3"/>
        <v>0</v>
      </c>
      <c r="J26" s="276" t="e">
        <f t="shared" si="1"/>
        <v>#DIV/0!</v>
      </c>
      <c r="K26" s="862"/>
      <c r="L26" s="863"/>
    </row>
    <row r="27" spans="1:12" ht="152.25" hidden="1" customHeight="1">
      <c r="A27" s="198"/>
      <c r="B27" s="255">
        <f>'20'!I27</f>
        <v>0</v>
      </c>
      <c r="C27" s="270"/>
      <c r="D27" s="266">
        <f t="shared" si="4"/>
        <v>0</v>
      </c>
      <c r="E27" s="270"/>
      <c r="F27" s="268"/>
      <c r="G27" s="260">
        <f>'20'!H27</f>
        <v>0</v>
      </c>
      <c r="H27" s="269">
        <f t="shared" si="2"/>
        <v>0</v>
      </c>
      <c r="I27" s="275">
        <f t="shared" si="3"/>
        <v>0</v>
      </c>
      <c r="J27" s="277" t="e">
        <f t="shared" si="1"/>
        <v>#DIV/0!</v>
      </c>
      <c r="K27" s="214"/>
      <c r="L27" s="215"/>
    </row>
    <row r="28" spans="1:12" ht="152.25" customHeight="1" thickBot="1">
      <c r="A28" s="271" t="s">
        <v>114</v>
      </c>
      <c r="B28" s="272"/>
      <c r="C28" s="271">
        <f>SUM(C6:C27)</f>
        <v>0</v>
      </c>
      <c r="D28" s="271">
        <f t="shared" ref="D28:F28" si="5">SUM(D6:D27)</f>
        <v>675</v>
      </c>
      <c r="E28" s="271">
        <f t="shared" si="5"/>
        <v>0</v>
      </c>
      <c r="F28" s="271">
        <f t="shared" si="5"/>
        <v>0</v>
      </c>
      <c r="G28" s="933"/>
      <c r="H28" s="934"/>
      <c r="I28" s="271">
        <f t="shared" ref="I28" si="6">SUM(I6:I27)</f>
        <v>675</v>
      </c>
      <c r="J28" s="244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197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217" t="s">
        <v>132</v>
      </c>
      <c r="B31" s="153">
        <f>'20'!G31</f>
        <v>535</v>
      </c>
      <c r="C31" s="154"/>
      <c r="D31" s="17">
        <f>SUM(B31:C31)</f>
        <v>535</v>
      </c>
      <c r="E31" s="155">
        <f>C28</f>
        <v>0</v>
      </c>
      <c r="F31" s="17">
        <f>E28</f>
        <v>0</v>
      </c>
      <c r="G31" s="156">
        <f>D31-E31</f>
        <v>535</v>
      </c>
      <c r="H31" s="889"/>
      <c r="I31" s="890"/>
    </row>
    <row r="32" spans="1:12" ht="152.25" customHeight="1">
      <c r="A32" s="240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891"/>
      <c r="I32" s="892"/>
      <c r="J32" s="121"/>
    </row>
    <row r="33" spans="1:10" s="1" customFormat="1" ht="137.2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37.25" customHeight="1">
      <c r="A34" s="930" t="s">
        <v>134</v>
      </c>
      <c r="B34" s="931"/>
      <c r="C34" s="931"/>
      <c r="D34" s="931"/>
      <c r="E34" s="931"/>
      <c r="F34" s="931"/>
      <c r="G34" s="932"/>
      <c r="H34" s="59"/>
      <c r="I34" s="59"/>
      <c r="J34" s="84"/>
    </row>
    <row r="35" spans="1:10" ht="137.2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37.25" customHeight="1">
      <c r="A36" s="205" t="s">
        <v>139</v>
      </c>
      <c r="B36" s="158">
        <f>'20'!F36</f>
        <v>57</v>
      </c>
      <c r="C36" s="159"/>
      <c r="D36" s="160">
        <f>SUM(B36:C36)</f>
        <v>57</v>
      </c>
      <c r="E36" s="161"/>
      <c r="F36" s="160">
        <f>D36-E36</f>
        <v>57</v>
      </c>
      <c r="G36" s="295"/>
      <c r="H36" s="59"/>
      <c r="I36" s="59"/>
    </row>
    <row r="37" spans="1:10" ht="137.25" customHeight="1" thickBot="1">
      <c r="A37" s="206" t="s">
        <v>140</v>
      </c>
      <c r="B37" s="158">
        <f>'20'!F37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190"/>
      <c r="H37" s="59"/>
      <c r="I37" s="59"/>
    </row>
    <row r="38" spans="1:10" ht="137.25" customHeight="1" thickBot="1">
      <c r="A38" s="206" t="s">
        <v>141</v>
      </c>
      <c r="B38" s="158">
        <f>'20'!F38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69"/>
      <c r="H38" s="74"/>
      <c r="I38" s="74"/>
    </row>
    <row r="39" spans="1:10" ht="137.25" customHeight="1" thickBot="1">
      <c r="A39" s="206" t="s">
        <v>142</v>
      </c>
      <c r="B39" s="158">
        <f>'20'!F39</f>
        <v>3</v>
      </c>
      <c r="C39" s="159"/>
      <c r="D39" s="162">
        <f t="shared" si="7"/>
        <v>3</v>
      </c>
      <c r="E39" s="161"/>
      <c r="F39" s="162">
        <f t="shared" si="8"/>
        <v>3</v>
      </c>
      <c r="G39" s="190"/>
      <c r="H39" s="59"/>
      <c r="I39" s="59"/>
    </row>
    <row r="40" spans="1:10" ht="137.25" customHeight="1">
      <c r="A40" s="206" t="s">
        <v>143</v>
      </c>
      <c r="B40" s="158">
        <f>'20'!F40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190"/>
      <c r="H40" s="59"/>
      <c r="I40" s="59"/>
    </row>
    <row r="41" spans="1:10" ht="137.25" customHeight="1">
      <c r="A41" s="206" t="s">
        <v>144</v>
      </c>
      <c r="B41" s="158">
        <f>'20'!F41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190"/>
      <c r="H41" s="59"/>
      <c r="I41" s="59"/>
    </row>
    <row r="42" spans="1:10" ht="137.25" customHeight="1">
      <c r="A42" s="206" t="s">
        <v>145</v>
      </c>
      <c r="B42" s="158">
        <f>'20'!F42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190"/>
      <c r="H42" s="59"/>
      <c r="I42" s="59"/>
    </row>
    <row r="43" spans="1:10" ht="137.25" customHeight="1">
      <c r="A43" s="206" t="s">
        <v>86</v>
      </c>
      <c r="B43" s="158">
        <f>'20'!F43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208"/>
      <c r="H43" s="76"/>
      <c r="I43" s="59"/>
    </row>
    <row r="44" spans="1:10" ht="137.25" customHeight="1">
      <c r="A44" s="206" t="s">
        <v>146</v>
      </c>
      <c r="B44" s="158">
        <f>'20'!F44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207"/>
      <c r="H44" s="74"/>
      <c r="I44" s="74"/>
    </row>
    <row r="45" spans="1:10" ht="137.25" customHeight="1">
      <c r="A45" s="206" t="s">
        <v>147</v>
      </c>
      <c r="B45" s="158">
        <f>'20'!F45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209"/>
      <c r="H45" s="57"/>
      <c r="I45" s="76"/>
    </row>
    <row r="46" spans="1:10" ht="137.25" customHeight="1">
      <c r="A46" s="210" t="s">
        <v>148</v>
      </c>
      <c r="B46" s="158">
        <f>'20'!F46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211"/>
      <c r="H46" s="57"/>
      <c r="I46" s="76"/>
    </row>
    <row r="47" spans="1:10" ht="92.25">
      <c r="A47" s="212" t="s">
        <v>92</v>
      </c>
      <c r="B47" s="158">
        <f>'20'!F47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208"/>
      <c r="H47" s="57"/>
      <c r="I47" s="59"/>
    </row>
    <row r="48" spans="1:10" ht="126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26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26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26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118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" right="0.7" top="0.75" bottom="0.75" header="0.3" footer="0.3"/>
  <pageSetup scale="1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L53"/>
  <sheetViews>
    <sheetView topLeftCell="A37" zoomScale="25" zoomScaleNormal="25" workbookViewId="0">
      <selection activeCell="C6" sqref="C6:C18"/>
    </sheetView>
  </sheetViews>
  <sheetFormatPr defaultColWidth="9" defaultRowHeight="61.5"/>
  <cols>
    <col min="1" max="1" width="101.7109375" style="216" customWidth="1"/>
    <col min="2" max="2" width="64.5703125" style="3" customWidth="1"/>
    <col min="3" max="5" width="48" style="3" customWidth="1"/>
    <col min="6" max="6" width="68" style="3" customWidth="1"/>
    <col min="7" max="7" width="68.5703125" style="3" customWidth="1"/>
    <col min="8" max="8" width="69.140625" style="3" customWidth="1"/>
    <col min="9" max="9" width="48" style="3" customWidth="1"/>
    <col min="10" max="10" width="59.42578125" style="3" customWidth="1"/>
    <col min="11" max="12" width="48" style="3" customWidth="1"/>
    <col min="13" max="16384" width="9" style="3"/>
  </cols>
  <sheetData>
    <row r="1" spans="1:12" ht="152.25" customHeight="1">
      <c r="A1" s="935" t="s">
        <v>105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7"/>
    </row>
    <row r="2" spans="1:12" ht="164.25" customHeight="1">
      <c r="A2" s="171" t="s">
        <v>160</v>
      </c>
      <c r="B2" s="5" t="s">
        <v>177</v>
      </c>
      <c r="C2" s="938"/>
      <c r="D2" s="938"/>
      <c r="E2" s="938"/>
      <c r="F2" s="938"/>
      <c r="G2" s="6" t="s">
        <v>107</v>
      </c>
      <c r="H2" s="186" t="s">
        <v>181</v>
      </c>
      <c r="I2" s="877"/>
      <c r="J2" s="877"/>
      <c r="K2" s="877"/>
      <c r="L2" s="878"/>
    </row>
    <row r="3" spans="1:12" ht="152.25" customHeight="1">
      <c r="A3" s="173" t="s">
        <v>108</v>
      </c>
      <c r="B3" s="254" t="s">
        <v>180</v>
      </c>
      <c r="C3" s="9" t="s">
        <v>13</v>
      </c>
      <c r="D3" s="10" t="s">
        <v>14</v>
      </c>
      <c r="E3" s="11" t="s">
        <v>15</v>
      </c>
      <c r="F3" s="12" t="s">
        <v>109</v>
      </c>
      <c r="G3" s="8" t="s">
        <v>110</v>
      </c>
      <c r="H3" s="13"/>
      <c r="I3" s="879"/>
      <c r="J3" s="879"/>
      <c r="K3" s="879"/>
      <c r="L3" s="880"/>
    </row>
    <row r="4" spans="1:12" ht="152.25" customHeight="1">
      <c r="A4" s="939"/>
      <c r="B4" s="940"/>
      <c r="C4" s="14"/>
      <c r="D4" s="14"/>
      <c r="E4" s="14"/>
      <c r="F4" s="14"/>
      <c r="G4" s="15">
        <f>SUM(C4,D4,E4,F4)</f>
        <v>0</v>
      </c>
      <c r="H4" s="13"/>
      <c r="I4" s="881"/>
      <c r="J4" s="881"/>
      <c r="K4" s="881"/>
      <c r="L4" s="882"/>
    </row>
    <row r="5" spans="1:12" ht="251.25" customHeight="1">
      <c r="A5" s="204" t="s">
        <v>111</v>
      </c>
      <c r="B5" s="217" t="s">
        <v>112</v>
      </c>
      <c r="C5" s="217" t="s">
        <v>113</v>
      </c>
      <c r="D5" s="217" t="s">
        <v>114</v>
      </c>
      <c r="E5" s="217" t="s">
        <v>21</v>
      </c>
      <c r="F5" s="217" t="s">
        <v>115</v>
      </c>
      <c r="G5" s="218" t="s">
        <v>116</v>
      </c>
      <c r="H5" s="217" t="s">
        <v>117</v>
      </c>
      <c r="I5" s="217" t="s">
        <v>118</v>
      </c>
      <c r="J5" s="244" t="s">
        <v>119</v>
      </c>
      <c r="K5" s="870" t="s">
        <v>120</v>
      </c>
      <c r="L5" s="871"/>
    </row>
    <row r="6" spans="1:12" ht="152.25" customHeight="1">
      <c r="A6" s="219" t="s">
        <v>161</v>
      </c>
      <c r="B6" s="132">
        <f>'21'!I6</f>
        <v>316</v>
      </c>
      <c r="C6" s="133"/>
      <c r="D6" s="134">
        <f t="shared" ref="D6:D15" si="0">B6+C6</f>
        <v>316</v>
      </c>
      <c r="E6" s="135"/>
      <c r="F6" s="136"/>
      <c r="G6" s="137">
        <f>'21'!H6</f>
        <v>25474.100000000002</v>
      </c>
      <c r="H6" s="138">
        <f>SUM(G6,F6)</f>
        <v>25474.100000000002</v>
      </c>
      <c r="I6" s="165">
        <f>D6-E6</f>
        <v>316</v>
      </c>
      <c r="J6" s="166" t="e">
        <f t="shared" ref="J6:J27" si="1">E6/F6</f>
        <v>#DIV/0!</v>
      </c>
      <c r="K6" s="860"/>
      <c r="L6" s="861"/>
    </row>
    <row r="7" spans="1:12" ht="158.25" customHeight="1">
      <c r="A7" s="219" t="s">
        <v>162</v>
      </c>
      <c r="B7" s="132">
        <f>'21'!I7</f>
        <v>80</v>
      </c>
      <c r="C7" s="133"/>
      <c r="D7" s="139">
        <f t="shared" si="0"/>
        <v>80</v>
      </c>
      <c r="E7" s="135"/>
      <c r="F7" s="136"/>
      <c r="G7" s="137">
        <f>'21'!H7</f>
        <v>1535</v>
      </c>
      <c r="H7" s="134">
        <f t="shared" ref="H7:H27" si="2">SUM(G7,F7)</f>
        <v>1535</v>
      </c>
      <c r="I7" s="167">
        <f t="shared" ref="I7:I27" si="3">D7-E7</f>
        <v>80</v>
      </c>
      <c r="J7" s="168" t="e">
        <f t="shared" si="1"/>
        <v>#DIV/0!</v>
      </c>
      <c r="K7" s="860"/>
      <c r="L7" s="861"/>
    </row>
    <row r="8" spans="1:12" ht="242.25" customHeight="1">
      <c r="A8" s="219" t="s">
        <v>163</v>
      </c>
      <c r="B8" s="132">
        <f>'21'!I8</f>
        <v>123</v>
      </c>
      <c r="C8" s="133"/>
      <c r="D8" s="139">
        <f t="shared" si="0"/>
        <v>123</v>
      </c>
      <c r="E8" s="135"/>
      <c r="F8" s="136"/>
      <c r="G8" s="137">
        <f>'21'!H8</f>
        <v>1501</v>
      </c>
      <c r="H8" s="134">
        <f t="shared" si="2"/>
        <v>1501</v>
      </c>
      <c r="I8" s="167">
        <f t="shared" si="3"/>
        <v>123</v>
      </c>
      <c r="J8" s="168" t="e">
        <f t="shared" si="1"/>
        <v>#DIV/0!</v>
      </c>
      <c r="K8" s="862"/>
      <c r="L8" s="863"/>
    </row>
    <row r="9" spans="1:12" ht="197.25" customHeight="1">
      <c r="A9" s="219" t="s">
        <v>164</v>
      </c>
      <c r="B9" s="132">
        <f>'21'!I9</f>
        <v>95</v>
      </c>
      <c r="C9" s="133"/>
      <c r="D9" s="139">
        <f t="shared" si="0"/>
        <v>95</v>
      </c>
      <c r="E9" s="135"/>
      <c r="F9" s="136"/>
      <c r="G9" s="137">
        <f>'21'!H9</f>
        <v>3370</v>
      </c>
      <c r="H9" s="134">
        <f t="shared" si="2"/>
        <v>3370</v>
      </c>
      <c r="I9" s="167">
        <f t="shared" si="3"/>
        <v>95</v>
      </c>
      <c r="J9" s="168" t="e">
        <f t="shared" si="1"/>
        <v>#DIV/0!</v>
      </c>
      <c r="K9" s="862"/>
      <c r="L9" s="863"/>
    </row>
    <row r="10" spans="1:12" ht="176.25" customHeight="1">
      <c r="A10" s="219" t="s">
        <v>165</v>
      </c>
      <c r="B10" s="132">
        <f>'21'!I10</f>
        <v>26</v>
      </c>
      <c r="C10" s="133"/>
      <c r="D10" s="139">
        <f t="shared" si="0"/>
        <v>26</v>
      </c>
      <c r="E10" s="135"/>
      <c r="F10" s="136"/>
      <c r="G10" s="137">
        <f>'21'!H10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173.25" customHeight="1">
      <c r="A11" s="219" t="s">
        <v>166</v>
      </c>
      <c r="B11" s="132">
        <f>'21'!I11</f>
        <v>0</v>
      </c>
      <c r="C11" s="133"/>
      <c r="D11" s="139">
        <f t="shared" si="0"/>
        <v>0</v>
      </c>
      <c r="E11" s="135"/>
      <c r="F11" s="136"/>
      <c r="G11" s="137">
        <f>'21'!H11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19" t="s">
        <v>5</v>
      </c>
      <c r="B12" s="132">
        <f>'21'!I12</f>
        <v>0</v>
      </c>
      <c r="C12" s="133"/>
      <c r="D12" s="139">
        <f t="shared" si="0"/>
        <v>0</v>
      </c>
      <c r="E12" s="135"/>
      <c r="F12" s="136"/>
      <c r="G12" s="137">
        <f>'21'!H12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52.25" customHeight="1">
      <c r="A13" s="219" t="s">
        <v>167</v>
      </c>
      <c r="B13" s="132">
        <f>'21'!I13</f>
        <v>35</v>
      </c>
      <c r="C13" s="133"/>
      <c r="D13" s="139">
        <f t="shared" si="0"/>
        <v>35</v>
      </c>
      <c r="E13" s="135"/>
      <c r="F13" s="136"/>
      <c r="G13" s="137">
        <f>'21'!H13</f>
        <v>15</v>
      </c>
      <c r="H13" s="134">
        <f t="shared" si="2"/>
        <v>15</v>
      </c>
      <c r="I13" s="167">
        <f t="shared" si="3"/>
        <v>35</v>
      </c>
      <c r="J13" s="168" t="e">
        <f t="shared" si="1"/>
        <v>#DIV/0!</v>
      </c>
      <c r="K13" s="862"/>
      <c r="L13" s="863"/>
    </row>
    <row r="14" spans="1:12" ht="152.25" customHeight="1">
      <c r="A14" s="219" t="s">
        <v>168</v>
      </c>
      <c r="B14" s="132">
        <f>'21'!I14</f>
        <v>0</v>
      </c>
      <c r="C14" s="133"/>
      <c r="D14" s="139">
        <f t="shared" si="0"/>
        <v>0</v>
      </c>
      <c r="E14" s="135"/>
      <c r="F14" s="136"/>
      <c r="G14" s="137">
        <f>'21'!H14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52.25" customHeight="1">
      <c r="A15" s="219" t="s">
        <v>169</v>
      </c>
      <c r="B15" s="132">
        <f>'21'!I15</f>
        <v>0</v>
      </c>
      <c r="C15" s="133"/>
      <c r="D15" s="139">
        <f t="shared" si="0"/>
        <v>0</v>
      </c>
      <c r="E15" s="135"/>
      <c r="F15" s="136"/>
      <c r="G15" s="137">
        <f>'21'!H15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52.25" customHeight="1">
      <c r="A16" s="219" t="s">
        <v>170</v>
      </c>
      <c r="B16" s="132">
        <f>'21'!I16</f>
        <v>0</v>
      </c>
      <c r="C16" s="133"/>
      <c r="D16" s="139">
        <f t="shared" ref="D16:D27" si="4">C16+B16</f>
        <v>0</v>
      </c>
      <c r="E16" s="135"/>
      <c r="F16" s="136"/>
      <c r="G16" s="137">
        <f>'21'!H16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52.25" customHeight="1">
      <c r="A17" s="219" t="s">
        <v>171</v>
      </c>
      <c r="B17" s="132">
        <f>'21'!I17</f>
        <v>0</v>
      </c>
      <c r="C17" s="133"/>
      <c r="D17" s="139">
        <f t="shared" si="4"/>
        <v>0</v>
      </c>
      <c r="E17" s="135"/>
      <c r="F17" s="136"/>
      <c r="G17" s="137">
        <f>'21'!H17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>
      <c r="A18" s="220" t="s">
        <v>11</v>
      </c>
      <c r="B18" s="132">
        <f>'21'!I18</f>
        <v>0</v>
      </c>
      <c r="C18" s="133"/>
      <c r="D18" s="139">
        <f t="shared" si="4"/>
        <v>0</v>
      </c>
      <c r="E18" s="135"/>
      <c r="F18" s="136"/>
      <c r="G18" s="137">
        <f>'21'!H18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'21'!I19</f>
        <v>0</v>
      </c>
      <c r="C19" s="133"/>
      <c r="D19" s="139">
        <f t="shared" si="4"/>
        <v>0</v>
      </c>
      <c r="E19" s="135"/>
      <c r="F19" s="136"/>
      <c r="G19" s="137">
        <f>'21'!H19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221">
        <f>'21'!I20</f>
        <v>0</v>
      </c>
      <c r="C20" s="222"/>
      <c r="D20" s="223">
        <f t="shared" si="4"/>
        <v>0</v>
      </c>
      <c r="E20" s="224"/>
      <c r="F20" s="225"/>
      <c r="G20" s="226">
        <f>'21'!H20</f>
        <v>0</v>
      </c>
      <c r="H20" s="227">
        <f t="shared" si="2"/>
        <v>0</v>
      </c>
      <c r="I20" s="245">
        <f t="shared" si="3"/>
        <v>0</v>
      </c>
      <c r="J20" s="246" t="e">
        <f t="shared" si="1"/>
        <v>#DIV/0!</v>
      </c>
      <c r="K20" s="862"/>
      <c r="L20" s="863"/>
    </row>
    <row r="21" spans="1:12" ht="152.25" hidden="1" customHeight="1">
      <c r="A21" s="197"/>
      <c r="B21" s="221">
        <f>'21'!I21</f>
        <v>0</v>
      </c>
      <c r="C21" s="222"/>
      <c r="D21" s="223">
        <f t="shared" si="4"/>
        <v>0</v>
      </c>
      <c r="E21" s="224"/>
      <c r="F21" s="225"/>
      <c r="G21" s="226">
        <f>'21'!H21</f>
        <v>0</v>
      </c>
      <c r="H21" s="227">
        <f t="shared" si="2"/>
        <v>0</v>
      </c>
      <c r="I21" s="245">
        <f t="shared" si="3"/>
        <v>0</v>
      </c>
      <c r="J21" s="246" t="e">
        <f t="shared" si="1"/>
        <v>#DIV/0!</v>
      </c>
      <c r="K21" s="862"/>
      <c r="L21" s="863"/>
    </row>
    <row r="22" spans="1:12" ht="152.25" hidden="1" customHeight="1">
      <c r="A22" s="197"/>
      <c r="B22" s="221">
        <f>'21'!I22</f>
        <v>0</v>
      </c>
      <c r="C22" s="222"/>
      <c r="D22" s="223">
        <f t="shared" si="4"/>
        <v>0</v>
      </c>
      <c r="E22" s="224"/>
      <c r="F22" s="225"/>
      <c r="G22" s="226">
        <f>'21'!H22</f>
        <v>0</v>
      </c>
      <c r="H22" s="227">
        <f t="shared" si="2"/>
        <v>0</v>
      </c>
      <c r="I22" s="245">
        <f t="shared" si="3"/>
        <v>0</v>
      </c>
      <c r="J22" s="246" t="e">
        <f t="shared" si="1"/>
        <v>#DIV/0!</v>
      </c>
      <c r="K22" s="862"/>
      <c r="L22" s="863"/>
    </row>
    <row r="23" spans="1:12" ht="152.25" hidden="1" customHeight="1">
      <c r="A23" s="197"/>
      <c r="B23" s="221">
        <f>'21'!I23</f>
        <v>0</v>
      </c>
      <c r="C23" s="228"/>
      <c r="D23" s="223">
        <f t="shared" si="4"/>
        <v>0</v>
      </c>
      <c r="E23" s="229"/>
      <c r="F23" s="230"/>
      <c r="G23" s="226">
        <f>'21'!H23</f>
        <v>0</v>
      </c>
      <c r="H23" s="227">
        <f t="shared" si="2"/>
        <v>0</v>
      </c>
      <c r="I23" s="245">
        <f t="shared" si="3"/>
        <v>0</v>
      </c>
      <c r="J23" s="246" t="e">
        <f t="shared" si="1"/>
        <v>#DIV/0!</v>
      </c>
      <c r="K23" s="862"/>
      <c r="L23" s="863"/>
    </row>
    <row r="24" spans="1:12" ht="152.25" hidden="1" customHeight="1">
      <c r="A24" s="197"/>
      <c r="B24" s="221">
        <f>'21'!I24</f>
        <v>0</v>
      </c>
      <c r="C24" s="228"/>
      <c r="D24" s="223">
        <f t="shared" si="4"/>
        <v>0</v>
      </c>
      <c r="E24" s="229"/>
      <c r="F24" s="230"/>
      <c r="G24" s="226">
        <f>'21'!H24</f>
        <v>0</v>
      </c>
      <c r="H24" s="227">
        <f t="shared" si="2"/>
        <v>0</v>
      </c>
      <c r="I24" s="245">
        <f t="shared" si="3"/>
        <v>0</v>
      </c>
      <c r="J24" s="246" t="e">
        <f t="shared" si="1"/>
        <v>#DIV/0!</v>
      </c>
      <c r="K24" s="862"/>
      <c r="L24" s="863"/>
    </row>
    <row r="25" spans="1:12" ht="152.25" hidden="1" customHeight="1">
      <c r="A25" s="197"/>
      <c r="B25" s="221">
        <f>'21'!I25</f>
        <v>0</v>
      </c>
      <c r="C25" s="228"/>
      <c r="D25" s="223">
        <f t="shared" si="4"/>
        <v>0</v>
      </c>
      <c r="E25" s="229"/>
      <c r="F25" s="230"/>
      <c r="G25" s="226">
        <f>'21'!H25</f>
        <v>0</v>
      </c>
      <c r="H25" s="227">
        <f t="shared" si="2"/>
        <v>0</v>
      </c>
      <c r="I25" s="245">
        <f t="shared" si="3"/>
        <v>0</v>
      </c>
      <c r="J25" s="246" t="e">
        <f t="shared" si="1"/>
        <v>#DIV/0!</v>
      </c>
      <c r="K25" s="862"/>
      <c r="L25" s="863"/>
    </row>
    <row r="26" spans="1:12" ht="152.25" hidden="1" customHeight="1">
      <c r="A26" s="197"/>
      <c r="B26" s="221">
        <f>'21'!I26</f>
        <v>0</v>
      </c>
      <c r="C26" s="231"/>
      <c r="D26" s="232">
        <f t="shared" si="4"/>
        <v>0</v>
      </c>
      <c r="E26" s="233"/>
      <c r="F26" s="234"/>
      <c r="G26" s="226">
        <f>'21'!H26</f>
        <v>0</v>
      </c>
      <c r="H26" s="204">
        <f t="shared" si="2"/>
        <v>0</v>
      </c>
      <c r="I26" s="247">
        <f t="shared" si="3"/>
        <v>0</v>
      </c>
      <c r="J26" s="248" t="e">
        <f t="shared" si="1"/>
        <v>#DIV/0!</v>
      </c>
      <c r="K26" s="862"/>
      <c r="L26" s="863"/>
    </row>
    <row r="27" spans="1:12" ht="152.25" hidden="1" customHeight="1">
      <c r="A27" s="198"/>
      <c r="B27" s="221">
        <f>'21'!I27</f>
        <v>0</v>
      </c>
      <c r="C27" s="235"/>
      <c r="D27" s="232">
        <f t="shared" si="4"/>
        <v>0</v>
      </c>
      <c r="E27" s="235"/>
      <c r="F27" s="234"/>
      <c r="G27" s="226">
        <f>'21'!H27</f>
        <v>0</v>
      </c>
      <c r="H27" s="204">
        <f t="shared" si="2"/>
        <v>0</v>
      </c>
      <c r="I27" s="247">
        <f t="shared" si="3"/>
        <v>0</v>
      </c>
      <c r="J27" s="217" t="e">
        <f t="shared" si="1"/>
        <v>#DIV/0!</v>
      </c>
      <c r="K27" s="214"/>
      <c r="L27" s="215"/>
    </row>
    <row r="28" spans="1:12" ht="152.25" customHeight="1">
      <c r="A28" s="40" t="s">
        <v>114</v>
      </c>
      <c r="B28" s="41"/>
      <c r="C28" s="40">
        <f>SUM(C6:C27)</f>
        <v>0</v>
      </c>
      <c r="D28" s="40">
        <f t="shared" ref="D28:F28" si="5">SUM(D6:D27)</f>
        <v>675</v>
      </c>
      <c r="E28" s="40">
        <f t="shared" si="5"/>
        <v>0</v>
      </c>
      <c r="F28" s="40">
        <f t="shared" si="5"/>
        <v>0</v>
      </c>
      <c r="G28" s="883"/>
      <c r="H28" s="884"/>
      <c r="I28" s="40">
        <f t="shared" ref="I28" si="6">SUM(I6:I27)</f>
        <v>675</v>
      </c>
      <c r="J28" s="244"/>
      <c r="K28" s="885"/>
      <c r="L28" s="886"/>
    </row>
    <row r="29" spans="1:12" ht="152.25" customHeight="1">
      <c r="A29" s="236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197.25" customHeight="1">
      <c r="A30" s="237"/>
      <c r="B30" s="217" t="s">
        <v>126</v>
      </c>
      <c r="C30" s="217" t="s">
        <v>127</v>
      </c>
      <c r="D30" s="217" t="s">
        <v>128</v>
      </c>
      <c r="E30" s="217" t="s">
        <v>129</v>
      </c>
      <c r="F30" s="217" t="s">
        <v>130</v>
      </c>
      <c r="G30" s="217" t="s">
        <v>131</v>
      </c>
      <c r="H30" s="887" t="s">
        <v>120</v>
      </c>
      <c r="I30" s="888"/>
    </row>
    <row r="31" spans="1:12" ht="152.25" customHeight="1">
      <c r="A31" s="17" t="s">
        <v>132</v>
      </c>
      <c r="B31" s="153">
        <f>'21'!G31</f>
        <v>535</v>
      </c>
      <c r="C31" s="154">
        <v>0</v>
      </c>
      <c r="D31" s="17">
        <f>SUM(B31:C31)</f>
        <v>535</v>
      </c>
      <c r="E31" s="155">
        <f>C28</f>
        <v>0</v>
      </c>
      <c r="F31" s="17">
        <f>E28</f>
        <v>0</v>
      </c>
      <c r="G31" s="156">
        <f>D31-E31</f>
        <v>535</v>
      </c>
      <c r="H31" s="941"/>
      <c r="I31" s="942"/>
    </row>
    <row r="32" spans="1:12" ht="152.25" customHeight="1">
      <c r="A32" s="51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891"/>
      <c r="I32" s="892"/>
      <c r="J32" s="121"/>
    </row>
    <row r="33" spans="1:10" s="1" customFormat="1" ht="82.5" customHeight="1">
      <c r="A33" s="238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19.25" customHeight="1">
      <c r="A34" s="874" t="s">
        <v>134</v>
      </c>
      <c r="B34" s="875"/>
      <c r="C34" s="875"/>
      <c r="D34" s="875"/>
      <c r="E34" s="875"/>
      <c r="F34" s="875"/>
      <c r="G34" s="876"/>
      <c r="H34" s="59"/>
      <c r="I34" s="59"/>
      <c r="J34" s="84"/>
    </row>
    <row r="35" spans="1:10" ht="119.2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119.25" customHeight="1">
      <c r="A36" s="205" t="s">
        <v>139</v>
      </c>
      <c r="B36" s="158">
        <f>'21'!F36</f>
        <v>57</v>
      </c>
      <c r="C36" s="159"/>
      <c r="D36" s="160">
        <f>SUM(B36:C36)</f>
        <v>57</v>
      </c>
      <c r="E36" s="161"/>
      <c r="F36" s="160">
        <f>D36-E36</f>
        <v>57</v>
      </c>
      <c r="G36" s="69"/>
      <c r="H36" s="59"/>
      <c r="I36" s="59"/>
    </row>
    <row r="37" spans="1:10" ht="119.25" customHeight="1">
      <c r="A37" s="206" t="s">
        <v>140</v>
      </c>
      <c r="B37" s="158">
        <f>'21'!F37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190"/>
      <c r="H37" s="59"/>
      <c r="I37" s="59"/>
    </row>
    <row r="38" spans="1:10" ht="119.25" customHeight="1">
      <c r="A38" s="206" t="s">
        <v>141</v>
      </c>
      <c r="B38" s="158">
        <f>'21'!F38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207"/>
      <c r="H38" s="74"/>
      <c r="I38" s="74"/>
    </row>
    <row r="39" spans="1:10" ht="119.25" customHeight="1">
      <c r="A39" s="206" t="s">
        <v>142</v>
      </c>
      <c r="B39" s="158">
        <f>'21'!F39</f>
        <v>3</v>
      </c>
      <c r="C39" s="159"/>
      <c r="D39" s="162">
        <f t="shared" si="7"/>
        <v>3</v>
      </c>
      <c r="E39" s="161"/>
      <c r="F39" s="162">
        <f t="shared" si="8"/>
        <v>3</v>
      </c>
      <c r="G39" s="190"/>
      <c r="H39" s="59"/>
      <c r="I39" s="59"/>
    </row>
    <row r="40" spans="1:10" ht="119.25" customHeight="1">
      <c r="A40" s="206" t="s">
        <v>143</v>
      </c>
      <c r="B40" s="158">
        <f>'21'!F40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190"/>
      <c r="H40" s="59"/>
      <c r="I40" s="59"/>
    </row>
    <row r="41" spans="1:10" ht="119.25" customHeight="1">
      <c r="A41" s="206" t="s">
        <v>144</v>
      </c>
      <c r="B41" s="158">
        <f>'21'!F41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190"/>
      <c r="H41" s="59"/>
      <c r="I41" s="59"/>
    </row>
    <row r="42" spans="1:10" ht="119.25" customHeight="1">
      <c r="A42" s="206" t="s">
        <v>145</v>
      </c>
      <c r="B42" s="158">
        <f>'21'!F42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190"/>
      <c r="H42" s="59"/>
      <c r="I42" s="59"/>
    </row>
    <row r="43" spans="1:10" ht="119.25" customHeight="1">
      <c r="A43" s="206" t="s">
        <v>86</v>
      </c>
      <c r="B43" s="158">
        <f>'21'!F43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208"/>
      <c r="H43" s="76"/>
      <c r="I43" s="59"/>
      <c r="J43" s="124"/>
    </row>
    <row r="44" spans="1:10" ht="119.25" customHeight="1">
      <c r="A44" s="206" t="s">
        <v>146</v>
      </c>
      <c r="B44" s="158">
        <f>'21'!F44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207"/>
      <c r="H44" s="74"/>
      <c r="I44" s="74"/>
    </row>
    <row r="45" spans="1:10" ht="119.25" customHeight="1">
      <c r="A45" s="206" t="s">
        <v>147</v>
      </c>
      <c r="B45" s="158">
        <f>'21'!F45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209"/>
      <c r="H45" s="57"/>
      <c r="I45" s="76"/>
    </row>
    <row r="46" spans="1:10" ht="119.25" customHeight="1">
      <c r="A46" s="210" t="s">
        <v>148</v>
      </c>
      <c r="B46" s="158">
        <f>'21'!F46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211"/>
      <c r="H46" s="57"/>
      <c r="I46" s="76"/>
    </row>
    <row r="47" spans="1:10" ht="85.5" customHeight="1">
      <c r="A47" s="212" t="s">
        <v>92</v>
      </c>
      <c r="B47" s="158">
        <f>'21'!F47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82"/>
      <c r="H47" s="57"/>
      <c r="I47" s="59"/>
    </row>
    <row r="48" spans="1:10" ht="105.75" customHeight="1">
      <c r="A48" s="239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05.75" customHeight="1">
      <c r="A49" s="240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05.75" customHeight="1">
      <c r="A50" s="241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05.75" customHeight="1">
      <c r="A51" s="242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91.5" customHeight="1">
      <c r="A52" s="243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" right="0.7" top="0.75" bottom="0.75" header="0.3" footer="0.3"/>
  <pageSetup scale="1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L53"/>
  <sheetViews>
    <sheetView topLeftCell="A37" zoomScale="25" zoomScaleNormal="25" workbookViewId="0">
      <selection activeCell="D8" sqref="D8"/>
    </sheetView>
  </sheetViews>
  <sheetFormatPr defaultColWidth="9" defaultRowHeight="33.75"/>
  <cols>
    <col min="1" max="1" width="110.85546875" style="3" customWidth="1"/>
    <col min="2" max="2" width="68.140625" style="3" customWidth="1"/>
    <col min="3" max="3" width="55.42578125" style="3" customWidth="1"/>
    <col min="4" max="4" width="54.85546875" style="3" customWidth="1"/>
    <col min="5" max="5" width="48" style="3" customWidth="1"/>
    <col min="6" max="6" width="72" style="3" customWidth="1"/>
    <col min="7" max="7" width="68" style="3" customWidth="1"/>
    <col min="8" max="8" width="76" style="3" customWidth="1"/>
    <col min="9" max="9" width="48" style="3" customWidth="1"/>
    <col min="10" max="10" width="64.7109375" style="3" customWidth="1"/>
    <col min="11" max="11" width="48" style="3" customWidth="1"/>
    <col min="12" max="12" width="14.85546875" style="3" customWidth="1"/>
    <col min="13" max="16384" width="9" style="3"/>
  </cols>
  <sheetData>
    <row r="1" spans="1:12" ht="152.25" customHeight="1">
      <c r="A1" s="864" t="s">
        <v>105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6"/>
    </row>
    <row r="2" spans="1:12" ht="164.25" customHeight="1">
      <c r="A2" s="171" t="s">
        <v>160</v>
      </c>
      <c r="B2" s="5" t="s">
        <v>176</v>
      </c>
      <c r="C2" s="893"/>
      <c r="D2" s="893"/>
      <c r="E2" s="893"/>
      <c r="F2" s="893"/>
      <c r="G2" s="172" t="s">
        <v>107</v>
      </c>
      <c r="H2" s="7">
        <v>46226</v>
      </c>
      <c r="I2" s="877"/>
      <c r="J2" s="877"/>
      <c r="K2" s="877"/>
      <c r="L2" s="878"/>
    </row>
    <row r="3" spans="1:12" ht="152.25" customHeight="1">
      <c r="A3" s="173" t="s">
        <v>108</v>
      </c>
      <c r="B3" s="254" t="s">
        <v>180</v>
      </c>
      <c r="C3" s="191" t="s">
        <v>13</v>
      </c>
      <c r="D3" s="192" t="s">
        <v>14</v>
      </c>
      <c r="E3" s="193" t="s">
        <v>15</v>
      </c>
      <c r="F3" s="194" t="s">
        <v>109</v>
      </c>
      <c r="G3" s="195" t="s">
        <v>110</v>
      </c>
      <c r="H3" s="196"/>
      <c r="I3" s="879"/>
      <c r="J3" s="879"/>
      <c r="K3" s="879"/>
      <c r="L3" s="880"/>
    </row>
    <row r="4" spans="1:12" ht="152.25" customHeight="1">
      <c r="A4" s="894"/>
      <c r="B4" s="895"/>
      <c r="C4" s="14"/>
      <c r="D4" s="14"/>
      <c r="E4" s="14"/>
      <c r="F4" s="14"/>
      <c r="G4" s="15">
        <f>SUM(C4,D4,E4,F4)</f>
        <v>0</v>
      </c>
      <c r="H4" s="196"/>
      <c r="I4" s="881"/>
      <c r="J4" s="881"/>
      <c r="K4" s="881"/>
      <c r="L4" s="882"/>
    </row>
    <row r="5" spans="1:12" ht="369">
      <c r="A5" s="16" t="s">
        <v>111</v>
      </c>
      <c r="B5" s="17" t="s">
        <v>112</v>
      </c>
      <c r="C5" s="17" t="s">
        <v>113</v>
      </c>
      <c r="D5" s="17" t="s">
        <v>114</v>
      </c>
      <c r="E5" s="17" t="s">
        <v>21</v>
      </c>
      <c r="F5" s="17" t="s">
        <v>115</v>
      </c>
      <c r="G5" s="18" t="s">
        <v>116</v>
      </c>
      <c r="H5" s="17" t="s">
        <v>117</v>
      </c>
      <c r="I5" s="17" t="s">
        <v>118</v>
      </c>
      <c r="J5" s="111" t="s">
        <v>119</v>
      </c>
      <c r="K5" s="928" t="s">
        <v>120</v>
      </c>
      <c r="L5" s="929"/>
    </row>
    <row r="6" spans="1:12" ht="176.25" customHeight="1" thickBot="1">
      <c r="A6" s="17" t="s">
        <v>161</v>
      </c>
      <c r="B6" s="132">
        <f>'22'!I6</f>
        <v>316</v>
      </c>
      <c r="C6" s="133"/>
      <c r="D6" s="134">
        <f t="shared" ref="D6:D15" si="0">B6+C6</f>
        <v>316</v>
      </c>
      <c r="E6" s="135"/>
      <c r="F6" s="136"/>
      <c r="G6" s="137">
        <f>'22'!H6</f>
        <v>25474.100000000002</v>
      </c>
      <c r="H6" s="138">
        <f>SUM(G6,F6)</f>
        <v>25474.100000000002</v>
      </c>
      <c r="I6" s="165">
        <f>D6-E6</f>
        <v>316</v>
      </c>
      <c r="J6" s="166" t="e">
        <f t="shared" ref="J6:J27" si="1">E6/F6</f>
        <v>#DIV/0!</v>
      </c>
      <c r="K6" s="904"/>
      <c r="L6" s="905"/>
    </row>
    <row r="7" spans="1:12" ht="188.25" customHeight="1" thickBot="1">
      <c r="A7" s="17" t="s">
        <v>162</v>
      </c>
      <c r="B7" s="132">
        <f>'22'!I7</f>
        <v>80</v>
      </c>
      <c r="C7" s="133"/>
      <c r="D7" s="139">
        <f t="shared" si="0"/>
        <v>80</v>
      </c>
      <c r="E7" s="135"/>
      <c r="F7" s="136"/>
      <c r="G7" s="137">
        <f>'22'!H7</f>
        <v>1535</v>
      </c>
      <c r="H7" s="134">
        <f t="shared" ref="H7:H27" si="2">SUM(G7,F7)</f>
        <v>1535</v>
      </c>
      <c r="I7" s="167">
        <f t="shared" ref="I7:I27" si="3">D7-E7</f>
        <v>80</v>
      </c>
      <c r="J7" s="168" t="e">
        <f t="shared" si="1"/>
        <v>#DIV/0!</v>
      </c>
      <c r="K7" s="904"/>
      <c r="L7" s="905"/>
    </row>
    <row r="8" spans="1:12" ht="296.25" customHeight="1" thickBot="1">
      <c r="A8" s="17" t="s">
        <v>163</v>
      </c>
      <c r="B8" s="132">
        <f>'22'!I8</f>
        <v>123</v>
      </c>
      <c r="C8" s="133"/>
      <c r="D8" s="139">
        <f t="shared" si="0"/>
        <v>123</v>
      </c>
      <c r="E8" s="135"/>
      <c r="F8" s="136"/>
      <c r="G8" s="137">
        <f>'22'!H8</f>
        <v>1501</v>
      </c>
      <c r="H8" s="134">
        <f t="shared" si="2"/>
        <v>1501</v>
      </c>
      <c r="I8" s="167">
        <f t="shared" si="3"/>
        <v>123</v>
      </c>
      <c r="J8" s="168" t="e">
        <f t="shared" si="1"/>
        <v>#DIV/0!</v>
      </c>
      <c r="K8" s="862"/>
      <c r="L8" s="863"/>
    </row>
    <row r="9" spans="1:12" ht="369.75" thickBot="1">
      <c r="A9" s="17" t="s">
        <v>164</v>
      </c>
      <c r="B9" s="132">
        <f>'22'!I9</f>
        <v>95</v>
      </c>
      <c r="C9" s="133"/>
      <c r="D9" s="139">
        <f t="shared" si="0"/>
        <v>95</v>
      </c>
      <c r="E9" s="135"/>
      <c r="F9" s="136"/>
      <c r="G9" s="137">
        <f>'22'!H9</f>
        <v>3370</v>
      </c>
      <c r="H9" s="134">
        <f t="shared" si="2"/>
        <v>3370</v>
      </c>
      <c r="I9" s="167">
        <f t="shared" si="3"/>
        <v>95</v>
      </c>
      <c r="J9" s="168" t="e">
        <f t="shared" si="1"/>
        <v>#DIV/0!</v>
      </c>
      <c r="K9" s="862"/>
      <c r="L9" s="863"/>
    </row>
    <row r="10" spans="1:12" ht="170.25" customHeight="1">
      <c r="A10" s="17" t="s">
        <v>165</v>
      </c>
      <c r="B10" s="132">
        <f>'22'!I10</f>
        <v>26</v>
      </c>
      <c r="C10" s="133"/>
      <c r="D10" s="139">
        <f t="shared" si="0"/>
        <v>26</v>
      </c>
      <c r="E10" s="135"/>
      <c r="F10" s="136"/>
      <c r="G10" s="137">
        <f>'22'!H10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862"/>
      <c r="L10" s="863"/>
    </row>
    <row r="11" spans="1:12" ht="276.75">
      <c r="A11" s="17" t="s">
        <v>166</v>
      </c>
      <c r="B11" s="132">
        <f>'22'!I11</f>
        <v>0</v>
      </c>
      <c r="C11" s="133"/>
      <c r="D11" s="139">
        <f t="shared" si="0"/>
        <v>0</v>
      </c>
      <c r="E11" s="135"/>
      <c r="F11" s="136"/>
      <c r="G11" s="137">
        <f>'22'!H11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276.75">
      <c r="A12" s="17" t="s">
        <v>5</v>
      </c>
      <c r="B12" s="132">
        <f>'22'!I12</f>
        <v>0</v>
      </c>
      <c r="C12" s="133"/>
      <c r="D12" s="139">
        <f t="shared" si="0"/>
        <v>0</v>
      </c>
      <c r="E12" s="135"/>
      <c r="F12" s="136"/>
      <c r="G12" s="137">
        <f>'22'!H12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862"/>
      <c r="L12" s="863"/>
    </row>
    <row r="13" spans="1:12" ht="184.5">
      <c r="A13" s="17" t="s">
        <v>167</v>
      </c>
      <c r="B13" s="132">
        <f>'22'!I13</f>
        <v>35</v>
      </c>
      <c r="C13" s="133"/>
      <c r="D13" s="139">
        <f t="shared" si="0"/>
        <v>35</v>
      </c>
      <c r="E13" s="135"/>
      <c r="F13" s="136"/>
      <c r="G13" s="137">
        <f>'22'!H13</f>
        <v>15</v>
      </c>
      <c r="H13" s="134">
        <f t="shared" si="2"/>
        <v>15</v>
      </c>
      <c r="I13" s="167">
        <f t="shared" si="3"/>
        <v>35</v>
      </c>
      <c r="J13" s="168" t="e">
        <f t="shared" si="1"/>
        <v>#DIV/0!</v>
      </c>
      <c r="K13" s="862"/>
      <c r="L13" s="863"/>
    </row>
    <row r="14" spans="1:12" ht="176.25" customHeight="1">
      <c r="A14" s="17" t="s">
        <v>168</v>
      </c>
      <c r="B14" s="132">
        <f>'22'!I14</f>
        <v>0</v>
      </c>
      <c r="C14" s="133"/>
      <c r="D14" s="139">
        <f t="shared" si="0"/>
        <v>0</v>
      </c>
      <c r="E14" s="135"/>
      <c r="F14" s="136"/>
      <c r="G14" s="137">
        <f>'22'!H14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218.25" customHeight="1">
      <c r="A15" s="27" t="s">
        <v>169</v>
      </c>
      <c r="B15" s="132">
        <f>'22'!I15</f>
        <v>0</v>
      </c>
      <c r="C15" s="133"/>
      <c r="D15" s="139">
        <f t="shared" si="0"/>
        <v>0</v>
      </c>
      <c r="E15" s="135"/>
      <c r="F15" s="136"/>
      <c r="G15" s="137">
        <f>'22'!H15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97.25" customHeight="1">
      <c r="A16" s="27" t="s">
        <v>170</v>
      </c>
      <c r="B16" s="132">
        <f>'22'!I16</f>
        <v>0</v>
      </c>
      <c r="C16" s="133"/>
      <c r="D16" s="139">
        <f t="shared" ref="D16:D27" si="4">C16+B16</f>
        <v>0</v>
      </c>
      <c r="E16" s="135"/>
      <c r="F16" s="136"/>
      <c r="G16" s="137">
        <f>'22'!H16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52.25" customHeight="1">
      <c r="A17" s="17" t="s">
        <v>171</v>
      </c>
      <c r="B17" s="132">
        <f>'22'!I17</f>
        <v>0</v>
      </c>
      <c r="C17" s="133"/>
      <c r="D17" s="139">
        <f t="shared" si="4"/>
        <v>0</v>
      </c>
      <c r="E17" s="135"/>
      <c r="F17" s="136"/>
      <c r="G17" s="137">
        <f>'22'!H17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8" t="s">
        <v>11</v>
      </c>
      <c r="B18" s="132">
        <f>'22'!I18</f>
        <v>0</v>
      </c>
      <c r="C18" s="133"/>
      <c r="D18" s="139">
        <f t="shared" si="4"/>
        <v>0</v>
      </c>
      <c r="E18" s="135"/>
      <c r="F18" s="136"/>
      <c r="G18" s="137">
        <f>'22'!H18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862"/>
      <c r="L18" s="863"/>
    </row>
    <row r="19" spans="1:12" ht="152.25" hidden="1" customHeight="1">
      <c r="A19" s="197"/>
      <c r="B19" s="132">
        <f>'22'!I19</f>
        <v>0</v>
      </c>
      <c r="C19" s="133"/>
      <c r="D19" s="139">
        <f t="shared" si="4"/>
        <v>0</v>
      </c>
      <c r="E19" s="135"/>
      <c r="F19" s="136"/>
      <c r="G19" s="137">
        <f>'22'!H19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862"/>
      <c r="L19" s="863"/>
    </row>
    <row r="20" spans="1:12" ht="152.25" hidden="1" customHeight="1">
      <c r="A20" s="197"/>
      <c r="B20" s="132">
        <f>'22'!I20</f>
        <v>0</v>
      </c>
      <c r="C20" s="133"/>
      <c r="D20" s="139">
        <f t="shared" si="4"/>
        <v>0</v>
      </c>
      <c r="E20" s="135"/>
      <c r="F20" s="136"/>
      <c r="G20" s="137">
        <f>'22'!H20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862"/>
      <c r="L20" s="863"/>
    </row>
    <row r="21" spans="1:12" ht="152.25" hidden="1" customHeight="1">
      <c r="A21" s="197"/>
      <c r="B21" s="132">
        <f>'22'!I21</f>
        <v>0</v>
      </c>
      <c r="C21" s="133"/>
      <c r="D21" s="139">
        <f t="shared" si="4"/>
        <v>0</v>
      </c>
      <c r="E21" s="135"/>
      <c r="F21" s="136"/>
      <c r="G21" s="137">
        <f>'22'!H21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862"/>
      <c r="L21" s="863"/>
    </row>
    <row r="22" spans="1:12" ht="152.25" hidden="1" customHeight="1">
      <c r="A22" s="197"/>
      <c r="B22" s="132">
        <f>'22'!I22</f>
        <v>0</v>
      </c>
      <c r="C22" s="133"/>
      <c r="D22" s="139">
        <f t="shared" si="4"/>
        <v>0</v>
      </c>
      <c r="E22" s="135"/>
      <c r="F22" s="136"/>
      <c r="G22" s="137">
        <f>'22'!H22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862"/>
      <c r="L22" s="863"/>
    </row>
    <row r="23" spans="1:12" ht="152.25" hidden="1" customHeight="1">
      <c r="A23" s="197"/>
      <c r="B23" s="132">
        <f>'22'!I23</f>
        <v>0</v>
      </c>
      <c r="C23" s="174"/>
      <c r="D23" s="139">
        <f t="shared" si="4"/>
        <v>0</v>
      </c>
      <c r="E23" s="175"/>
      <c r="F23" s="176"/>
      <c r="G23" s="137">
        <f>'22'!H23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862"/>
      <c r="L23" s="863"/>
    </row>
    <row r="24" spans="1:12" ht="152.25" hidden="1" customHeight="1">
      <c r="A24" s="197"/>
      <c r="B24" s="132">
        <f>'22'!I24</f>
        <v>0</v>
      </c>
      <c r="C24" s="174"/>
      <c r="D24" s="139">
        <f t="shared" si="4"/>
        <v>0</v>
      </c>
      <c r="E24" s="175"/>
      <c r="F24" s="176"/>
      <c r="G24" s="137">
        <f>'22'!H24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862"/>
      <c r="L24" s="863"/>
    </row>
    <row r="25" spans="1:12" ht="152.25" hidden="1" customHeight="1">
      <c r="A25" s="197"/>
      <c r="B25" s="132">
        <f>'22'!I25</f>
        <v>0</v>
      </c>
      <c r="C25" s="174"/>
      <c r="D25" s="139">
        <f t="shared" si="4"/>
        <v>0</v>
      </c>
      <c r="E25" s="175"/>
      <c r="F25" s="176"/>
      <c r="G25" s="137">
        <f>'22'!H25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862"/>
      <c r="L25" s="863"/>
    </row>
    <row r="26" spans="1:12" ht="152.25" hidden="1" customHeight="1">
      <c r="A26" s="197"/>
      <c r="B26" s="132">
        <f>'22'!I26</f>
        <v>0</v>
      </c>
      <c r="C26" s="177"/>
      <c r="D26" s="148">
        <f t="shared" si="4"/>
        <v>0</v>
      </c>
      <c r="E26" s="178"/>
      <c r="F26" s="179"/>
      <c r="G26" s="137">
        <f>'22'!H26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862"/>
      <c r="L26" s="863"/>
    </row>
    <row r="27" spans="1:12" ht="152.25" hidden="1" customHeight="1">
      <c r="A27" s="198"/>
      <c r="B27" s="132">
        <f>'22'!I27</f>
        <v>0</v>
      </c>
      <c r="C27" s="180"/>
      <c r="D27" s="148">
        <f t="shared" si="4"/>
        <v>0</v>
      </c>
      <c r="E27" s="180"/>
      <c r="F27" s="179"/>
      <c r="G27" s="137">
        <f>'22'!H27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214"/>
      <c r="L27" s="215"/>
    </row>
    <row r="28" spans="1:12" ht="152.25" customHeight="1" thickBot="1">
      <c r="A28" s="199" t="s">
        <v>114</v>
      </c>
      <c r="B28" s="41"/>
      <c r="C28" s="40">
        <f>SUM(C6:C27)</f>
        <v>0</v>
      </c>
      <c r="D28" s="40">
        <f t="shared" ref="D28:F28" si="5">SUM(D6:D27)</f>
        <v>675</v>
      </c>
      <c r="E28" s="40">
        <f t="shared" si="5"/>
        <v>0</v>
      </c>
      <c r="F28" s="40">
        <f t="shared" si="5"/>
        <v>0</v>
      </c>
      <c r="G28" s="883"/>
      <c r="H28" s="884"/>
      <c r="I28" s="40">
        <f t="shared" ref="I28" si="6">SUM(I6:I27)</f>
        <v>675</v>
      </c>
      <c r="J28" s="111"/>
      <c r="K28" s="885"/>
      <c r="L28" s="886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45.25" customHeight="1">
      <c r="A30" s="45"/>
      <c r="B30" s="17" t="s">
        <v>126</v>
      </c>
      <c r="C30" s="17" t="s">
        <v>127</v>
      </c>
      <c r="D30" s="17" t="s">
        <v>128</v>
      </c>
      <c r="E30" s="17" t="s">
        <v>129</v>
      </c>
      <c r="F30" s="17" t="s">
        <v>130</v>
      </c>
      <c r="G30" s="17" t="s">
        <v>131</v>
      </c>
      <c r="H30" s="943" t="s">
        <v>120</v>
      </c>
      <c r="I30" s="944"/>
    </row>
    <row r="31" spans="1:12" ht="152.25" customHeight="1">
      <c r="A31" s="17" t="s">
        <v>132</v>
      </c>
      <c r="B31" s="153">
        <f>'22'!G31</f>
        <v>535</v>
      </c>
      <c r="C31" s="154">
        <v>0</v>
      </c>
      <c r="D31" s="17">
        <f>SUM(B31:C31)</f>
        <v>535</v>
      </c>
      <c r="E31" s="155">
        <f>C28</f>
        <v>0</v>
      </c>
      <c r="F31" s="17">
        <f>E28</f>
        <v>0</v>
      </c>
      <c r="G31" s="156">
        <f>D31-E31</f>
        <v>535</v>
      </c>
      <c r="H31" s="945"/>
      <c r="I31" s="946"/>
    </row>
    <row r="32" spans="1:12" ht="152.25" customHeight="1">
      <c r="A32" s="51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127.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27.5" customHeight="1">
      <c r="A34" s="930" t="s">
        <v>134</v>
      </c>
      <c r="B34" s="931"/>
      <c r="C34" s="931"/>
      <c r="D34" s="931"/>
      <c r="E34" s="931"/>
      <c r="F34" s="931"/>
      <c r="G34" s="932"/>
      <c r="H34" s="59"/>
      <c r="I34" s="59"/>
      <c r="J34" s="84"/>
    </row>
    <row r="35" spans="1:10" ht="127.5" customHeight="1">
      <c r="A35" s="200" t="s">
        <v>135</v>
      </c>
      <c r="B35" s="201" t="s">
        <v>136</v>
      </c>
      <c r="C35" s="202" t="s">
        <v>127</v>
      </c>
      <c r="D35" s="200" t="s">
        <v>137</v>
      </c>
      <c r="E35" s="203" t="s">
        <v>138</v>
      </c>
      <c r="F35" s="204" t="s">
        <v>131</v>
      </c>
      <c r="G35" s="204" t="s">
        <v>42</v>
      </c>
      <c r="H35" s="59"/>
      <c r="I35" s="59"/>
      <c r="J35" s="123"/>
    </row>
    <row r="36" spans="1:10" ht="92.25">
      <c r="A36" s="205" t="s">
        <v>139</v>
      </c>
      <c r="B36" s="158">
        <f>'22'!F36</f>
        <v>57</v>
      </c>
      <c r="C36" s="159"/>
      <c r="D36" s="160">
        <f>SUM(B36:C36)</f>
        <v>57</v>
      </c>
      <c r="E36" s="161"/>
      <c r="F36" s="160">
        <f>D36-E36</f>
        <v>57</v>
      </c>
      <c r="G36" s="69"/>
      <c r="H36" s="59"/>
      <c r="I36" s="59"/>
    </row>
    <row r="37" spans="1:10" ht="92.25">
      <c r="A37" s="206" t="s">
        <v>140</v>
      </c>
      <c r="B37" s="158">
        <f>'22'!F37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190"/>
      <c r="H37" s="59"/>
      <c r="I37" s="59"/>
    </row>
    <row r="38" spans="1:10" ht="92.25">
      <c r="A38" s="206" t="s">
        <v>141</v>
      </c>
      <c r="B38" s="158">
        <f>'22'!F38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664"/>
      <c r="H38" s="74"/>
      <c r="I38" s="74"/>
    </row>
    <row r="39" spans="1:10" ht="92.25">
      <c r="A39" s="206" t="s">
        <v>142</v>
      </c>
      <c r="B39" s="158">
        <f>'22'!F39</f>
        <v>3</v>
      </c>
      <c r="C39" s="159"/>
      <c r="D39" s="162">
        <f t="shared" si="7"/>
        <v>3</v>
      </c>
      <c r="E39" s="161"/>
      <c r="F39" s="162">
        <f t="shared" si="8"/>
        <v>3</v>
      </c>
      <c r="G39" s="189"/>
      <c r="H39" s="59"/>
      <c r="I39" s="59"/>
    </row>
    <row r="40" spans="1:10" ht="92.25">
      <c r="A40" s="206" t="s">
        <v>143</v>
      </c>
      <c r="B40" s="158">
        <f>'22'!F40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190"/>
      <c r="H40" s="59"/>
      <c r="I40" s="59"/>
    </row>
    <row r="41" spans="1:10" ht="92.25">
      <c r="A41" s="206" t="s">
        <v>144</v>
      </c>
      <c r="B41" s="158">
        <f>'22'!F41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190"/>
      <c r="H41" s="59"/>
      <c r="I41" s="59"/>
    </row>
    <row r="42" spans="1:10" ht="92.25">
      <c r="A42" s="206" t="s">
        <v>145</v>
      </c>
      <c r="B42" s="158">
        <f>'22'!F42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190"/>
      <c r="H42" s="59"/>
      <c r="I42" s="59"/>
    </row>
    <row r="43" spans="1:10" ht="92.25">
      <c r="A43" s="206" t="s">
        <v>86</v>
      </c>
      <c r="B43" s="158">
        <f>'22'!F43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208"/>
      <c r="H43" s="76"/>
      <c r="I43" s="59"/>
      <c r="J43" s="124"/>
    </row>
    <row r="44" spans="1:10" ht="92.25">
      <c r="A44" s="206" t="s">
        <v>146</v>
      </c>
      <c r="B44" s="158">
        <f>'22'!F44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207"/>
      <c r="H44" s="74"/>
      <c r="I44" s="74"/>
    </row>
    <row r="45" spans="1:10" ht="123">
      <c r="A45" s="206" t="s">
        <v>147</v>
      </c>
      <c r="B45" s="158">
        <f>'22'!F45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209"/>
      <c r="H45" s="57"/>
      <c r="I45" s="76"/>
    </row>
    <row r="46" spans="1:10" ht="92.25">
      <c r="A46" s="210" t="s">
        <v>148</v>
      </c>
      <c r="B46" s="158">
        <f>'22'!F46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211"/>
      <c r="H46" s="57"/>
      <c r="I46" s="76"/>
    </row>
    <row r="47" spans="1:10" ht="92.25">
      <c r="A47" s="212" t="s">
        <v>92</v>
      </c>
      <c r="B47" s="158">
        <f>'22'!F47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82"/>
      <c r="H47" s="57"/>
      <c r="I47" s="59"/>
    </row>
    <row r="48" spans="1:10" ht="99.6" customHeight="1">
      <c r="A48" s="83"/>
      <c r="B48" s="84"/>
      <c r="C48" s="213"/>
      <c r="D48" s="84"/>
      <c r="E48" s="84"/>
      <c r="F48" s="85"/>
      <c r="G48" s="86"/>
      <c r="H48" s="57"/>
      <c r="I48" s="110"/>
      <c r="J48" s="57"/>
    </row>
    <row r="49" spans="1:11" ht="99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99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99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109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" right="0.7" top="0.75" bottom="0.75" header="0.3" footer="0.3"/>
  <pageSetup scale="1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L53"/>
  <sheetViews>
    <sheetView topLeftCell="A37" zoomScale="25" zoomScaleNormal="25" workbookViewId="0">
      <selection activeCell="E6" sqref="E6:F18"/>
    </sheetView>
  </sheetViews>
  <sheetFormatPr defaultColWidth="9" defaultRowHeight="33.75"/>
  <cols>
    <col min="1" max="1" width="116.5703125" style="3" customWidth="1"/>
    <col min="2" max="2" width="60" style="3" customWidth="1"/>
    <col min="3" max="3" width="62.28515625" style="3" customWidth="1"/>
    <col min="4" max="4" width="48" style="3" customWidth="1"/>
    <col min="5" max="5" width="68" style="3" customWidth="1"/>
    <col min="6" max="6" width="62.85546875" style="3" customWidth="1"/>
    <col min="7" max="7" width="64" style="3" customWidth="1"/>
    <col min="8" max="8" width="78.85546875" style="3" customWidth="1"/>
    <col min="9" max="9" width="48" style="3" customWidth="1"/>
    <col min="10" max="10" width="54.28515625" style="3" customWidth="1"/>
    <col min="11" max="12" width="48" style="3" customWidth="1"/>
    <col min="13" max="16384" width="9" style="3"/>
  </cols>
  <sheetData>
    <row r="1" spans="1:12" ht="152.25" customHeight="1">
      <c r="A1" s="935" t="s">
        <v>105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7"/>
    </row>
    <row r="2" spans="1:12" ht="164.25" customHeight="1">
      <c r="A2" s="4" t="s">
        <v>160</v>
      </c>
      <c r="B2" s="251" t="s">
        <v>177</v>
      </c>
      <c r="C2" s="938"/>
      <c r="D2" s="938"/>
      <c r="E2" s="938"/>
      <c r="F2" s="938"/>
      <c r="G2" s="6" t="s">
        <v>107</v>
      </c>
      <c r="H2" s="7" t="s">
        <v>194</v>
      </c>
      <c r="I2" s="949"/>
      <c r="J2" s="949"/>
      <c r="K2" s="949"/>
      <c r="L2" s="950"/>
    </row>
    <row r="3" spans="1:12" ht="152.25" customHeight="1">
      <c r="A3" s="8" t="s">
        <v>108</v>
      </c>
      <c r="B3" s="254" t="s">
        <v>180</v>
      </c>
      <c r="C3" s="9" t="s">
        <v>13</v>
      </c>
      <c r="D3" s="10" t="s">
        <v>14</v>
      </c>
      <c r="E3" s="11" t="s">
        <v>15</v>
      </c>
      <c r="F3" s="12" t="s">
        <v>109</v>
      </c>
      <c r="G3" s="8" t="s">
        <v>110</v>
      </c>
      <c r="H3" s="13"/>
      <c r="I3" s="951"/>
      <c r="J3" s="951"/>
      <c r="K3" s="951"/>
      <c r="L3" s="952"/>
    </row>
    <row r="4" spans="1:12" ht="152.25" customHeight="1">
      <c r="A4" s="939"/>
      <c r="B4" s="940"/>
      <c r="C4" s="14"/>
      <c r="D4" s="14"/>
      <c r="E4" s="14"/>
      <c r="F4" s="14"/>
      <c r="G4" s="15">
        <f>SUM(C4,D4,E4,F4)</f>
        <v>0</v>
      </c>
      <c r="H4" s="13"/>
      <c r="I4" s="953"/>
      <c r="J4" s="953"/>
      <c r="K4" s="953"/>
      <c r="L4" s="954"/>
    </row>
    <row r="5" spans="1:12" ht="272.25" customHeight="1">
      <c r="A5" s="16" t="s">
        <v>111</v>
      </c>
      <c r="B5" s="17" t="s">
        <v>112</v>
      </c>
      <c r="C5" s="17" t="s">
        <v>113</v>
      </c>
      <c r="D5" s="17" t="s">
        <v>114</v>
      </c>
      <c r="E5" s="17" t="s">
        <v>21</v>
      </c>
      <c r="F5" s="17" t="s">
        <v>115</v>
      </c>
      <c r="G5" s="18" t="s">
        <v>116</v>
      </c>
      <c r="H5" s="17" t="s">
        <v>117</v>
      </c>
      <c r="I5" s="17" t="s">
        <v>118</v>
      </c>
      <c r="J5" s="111" t="s">
        <v>119</v>
      </c>
      <c r="K5" s="928" t="s">
        <v>120</v>
      </c>
      <c r="L5" s="929"/>
    </row>
    <row r="6" spans="1:12" ht="152.25" customHeight="1">
      <c r="A6" s="17" t="s">
        <v>161</v>
      </c>
      <c r="B6" s="132">
        <f>'23'!I6</f>
        <v>316</v>
      </c>
      <c r="C6" s="133"/>
      <c r="D6" s="134">
        <f t="shared" ref="D6:D15" si="0">B6+C6</f>
        <v>316</v>
      </c>
      <c r="E6" s="135"/>
      <c r="F6" s="136"/>
      <c r="G6" s="137">
        <f>'23'!H6</f>
        <v>25474.100000000002</v>
      </c>
      <c r="H6" s="138">
        <f>SUM(G6,F6)</f>
        <v>25474.100000000002</v>
      </c>
      <c r="I6" s="165">
        <f>D6-E6</f>
        <v>316</v>
      </c>
      <c r="J6" s="166" t="e">
        <f t="shared" ref="J6:J27" si="1">E6/F6</f>
        <v>#DIV/0!</v>
      </c>
      <c r="K6" s="947"/>
      <c r="L6" s="948"/>
    </row>
    <row r="7" spans="1:12" ht="164.25" customHeight="1">
      <c r="A7" s="17" t="s">
        <v>162</v>
      </c>
      <c r="B7" s="132">
        <f>'23'!I7</f>
        <v>80</v>
      </c>
      <c r="C7" s="133"/>
      <c r="D7" s="139">
        <f t="shared" si="0"/>
        <v>80</v>
      </c>
      <c r="E7" s="135"/>
      <c r="F7" s="136"/>
      <c r="G7" s="137">
        <f>'23'!H7</f>
        <v>1535</v>
      </c>
      <c r="H7" s="134">
        <f t="shared" ref="H7:H27" si="2">SUM(G7,F7)</f>
        <v>1535</v>
      </c>
      <c r="I7" s="167">
        <f t="shared" ref="I7:I27" si="3">D7-E7</f>
        <v>80</v>
      </c>
      <c r="J7" s="168" t="e">
        <f t="shared" si="1"/>
        <v>#DIV/0!</v>
      </c>
      <c r="K7" s="922"/>
      <c r="L7" s="923"/>
    </row>
    <row r="8" spans="1:12" ht="293.25" customHeight="1">
      <c r="A8" s="17" t="s">
        <v>163</v>
      </c>
      <c r="B8" s="132">
        <f>'23'!I8</f>
        <v>123</v>
      </c>
      <c r="C8" s="133"/>
      <c r="D8" s="139">
        <f t="shared" si="0"/>
        <v>123</v>
      </c>
      <c r="E8" s="135"/>
      <c r="F8" s="136"/>
      <c r="G8" s="137">
        <f>'23'!H8</f>
        <v>1501</v>
      </c>
      <c r="H8" s="134">
        <f t="shared" si="2"/>
        <v>1501</v>
      </c>
      <c r="I8" s="167">
        <f t="shared" si="3"/>
        <v>123</v>
      </c>
      <c r="J8" s="168" t="e">
        <f t="shared" si="1"/>
        <v>#DIV/0!</v>
      </c>
      <c r="K8" s="918"/>
      <c r="L8" s="919"/>
    </row>
    <row r="9" spans="1:12" ht="275.25" customHeight="1">
      <c r="A9" s="17" t="s">
        <v>164</v>
      </c>
      <c r="B9" s="132">
        <f>'23'!I9</f>
        <v>95</v>
      </c>
      <c r="C9" s="133"/>
      <c r="D9" s="139">
        <f t="shared" si="0"/>
        <v>95</v>
      </c>
      <c r="E9" s="135"/>
      <c r="F9" s="136"/>
      <c r="G9" s="137">
        <f>'23'!H9</f>
        <v>3370</v>
      </c>
      <c r="H9" s="134">
        <f t="shared" si="2"/>
        <v>3370</v>
      </c>
      <c r="I9" s="167">
        <f t="shared" si="3"/>
        <v>95</v>
      </c>
      <c r="J9" s="168" t="e">
        <f t="shared" si="1"/>
        <v>#DIV/0!</v>
      </c>
      <c r="K9" s="918"/>
      <c r="L9" s="919"/>
    </row>
    <row r="10" spans="1:12" ht="152.25" customHeight="1">
      <c r="A10" s="17" t="s">
        <v>165</v>
      </c>
      <c r="B10" s="132">
        <f>'23'!I10</f>
        <v>26</v>
      </c>
      <c r="C10" s="133"/>
      <c r="D10" s="139">
        <f t="shared" si="0"/>
        <v>26</v>
      </c>
      <c r="E10" s="135"/>
      <c r="F10" s="136"/>
      <c r="G10" s="137">
        <f>'23'!H10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918"/>
      <c r="L10" s="919"/>
    </row>
    <row r="11" spans="1:12" ht="173.25" customHeight="1">
      <c r="A11" s="17" t="s">
        <v>166</v>
      </c>
      <c r="B11" s="132">
        <f>'23'!I11</f>
        <v>0</v>
      </c>
      <c r="C11" s="133"/>
      <c r="D11" s="139">
        <f t="shared" si="0"/>
        <v>0</v>
      </c>
      <c r="E11" s="135"/>
      <c r="F11" s="136"/>
      <c r="G11" s="137">
        <f>'23'!H11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918"/>
      <c r="L11" s="919"/>
    </row>
    <row r="12" spans="1:12" ht="152.25" customHeight="1">
      <c r="A12" s="17" t="s">
        <v>5</v>
      </c>
      <c r="B12" s="132">
        <f>'23'!I12</f>
        <v>0</v>
      </c>
      <c r="C12" s="133"/>
      <c r="D12" s="139">
        <f t="shared" si="0"/>
        <v>0</v>
      </c>
      <c r="E12" s="135"/>
      <c r="F12" s="136"/>
      <c r="G12" s="137">
        <f>'23'!H12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918"/>
      <c r="L12" s="919"/>
    </row>
    <row r="13" spans="1:12" ht="170.25" customHeight="1">
      <c r="A13" s="27" t="s">
        <v>167</v>
      </c>
      <c r="B13" s="132">
        <f>'23'!I13</f>
        <v>35</v>
      </c>
      <c r="C13" s="133"/>
      <c r="D13" s="139">
        <f t="shared" si="0"/>
        <v>35</v>
      </c>
      <c r="E13" s="135"/>
      <c r="F13" s="136"/>
      <c r="G13" s="137">
        <f>'23'!H13</f>
        <v>15</v>
      </c>
      <c r="H13" s="134">
        <f t="shared" si="2"/>
        <v>15</v>
      </c>
      <c r="I13" s="167">
        <f t="shared" si="3"/>
        <v>35</v>
      </c>
      <c r="J13" s="168" t="e">
        <f t="shared" si="1"/>
        <v>#DIV/0!</v>
      </c>
      <c r="K13" s="918"/>
      <c r="L13" s="919"/>
    </row>
    <row r="14" spans="1:12" ht="152.25" customHeight="1">
      <c r="A14" s="27" t="s">
        <v>168</v>
      </c>
      <c r="B14" s="132">
        <f>'23'!I14</f>
        <v>0</v>
      </c>
      <c r="C14" s="133"/>
      <c r="D14" s="139">
        <f t="shared" si="0"/>
        <v>0</v>
      </c>
      <c r="E14" s="135"/>
      <c r="F14" s="136"/>
      <c r="G14" s="137">
        <f>'23'!H14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191.25" customHeight="1">
      <c r="A15" s="27" t="s">
        <v>169</v>
      </c>
      <c r="B15" s="132">
        <f>'23'!I15</f>
        <v>0</v>
      </c>
      <c r="C15" s="133"/>
      <c r="D15" s="139">
        <f t="shared" si="0"/>
        <v>0</v>
      </c>
      <c r="E15" s="135"/>
      <c r="F15" s="136"/>
      <c r="G15" s="137">
        <f>'23'!H15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918"/>
      <c r="L15" s="919"/>
    </row>
    <row r="16" spans="1:12" ht="188.25" customHeight="1">
      <c r="A16" s="27" t="s">
        <v>170</v>
      </c>
      <c r="B16" s="132">
        <f>'23'!I16</f>
        <v>0</v>
      </c>
      <c r="C16" s="133"/>
      <c r="D16" s="139">
        <f t="shared" ref="D16:D27" si="4">C16+B16</f>
        <v>0</v>
      </c>
      <c r="E16" s="135"/>
      <c r="F16" s="136"/>
      <c r="G16" s="137">
        <f>'23'!H16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862"/>
      <c r="L16" s="863"/>
    </row>
    <row r="17" spans="1:12" ht="179.25" customHeight="1">
      <c r="A17" s="27" t="s">
        <v>171</v>
      </c>
      <c r="B17" s="132">
        <f>'23'!I17</f>
        <v>0</v>
      </c>
      <c r="C17" s="133"/>
      <c r="D17" s="139">
        <f t="shared" si="4"/>
        <v>0</v>
      </c>
      <c r="E17" s="135"/>
      <c r="F17" s="136"/>
      <c r="G17" s="137">
        <f>'23'!H17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>
      <c r="A18" s="183" t="s">
        <v>11</v>
      </c>
      <c r="B18" s="132">
        <f>'23'!I18</f>
        <v>0</v>
      </c>
      <c r="C18" s="133"/>
      <c r="D18" s="139">
        <f t="shared" si="4"/>
        <v>0</v>
      </c>
      <c r="E18" s="135"/>
      <c r="F18" s="136"/>
      <c r="G18" s="137">
        <f>'23'!H18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918"/>
      <c r="L18" s="919"/>
    </row>
    <row r="19" spans="1:12" ht="152.25" hidden="1" customHeight="1">
      <c r="A19" s="29"/>
      <c r="B19" s="132">
        <f>'23'!I19</f>
        <v>0</v>
      </c>
      <c r="C19" s="133"/>
      <c r="D19" s="139">
        <f t="shared" si="4"/>
        <v>0</v>
      </c>
      <c r="E19" s="135"/>
      <c r="F19" s="136"/>
      <c r="G19" s="137">
        <f>'23'!H19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918"/>
      <c r="L19" s="919"/>
    </row>
    <row r="20" spans="1:12" ht="152.25" hidden="1" customHeight="1">
      <c r="A20" s="29"/>
      <c r="B20" s="132">
        <f>'23'!I20</f>
        <v>0</v>
      </c>
      <c r="C20" s="133"/>
      <c r="D20" s="139">
        <f t="shared" si="4"/>
        <v>0</v>
      </c>
      <c r="E20" s="135"/>
      <c r="F20" s="136"/>
      <c r="G20" s="137">
        <f>'23'!H20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918"/>
      <c r="L20" s="919"/>
    </row>
    <row r="21" spans="1:12" ht="152.25" hidden="1" customHeight="1">
      <c r="A21" s="29"/>
      <c r="B21" s="132">
        <f>'23'!I21</f>
        <v>0</v>
      </c>
      <c r="C21" s="133"/>
      <c r="D21" s="139">
        <f t="shared" si="4"/>
        <v>0</v>
      </c>
      <c r="E21" s="135"/>
      <c r="F21" s="136"/>
      <c r="G21" s="137">
        <f>'23'!H21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918"/>
      <c r="L21" s="919"/>
    </row>
    <row r="22" spans="1:12" ht="152.25" hidden="1" customHeight="1">
      <c r="A22" s="29"/>
      <c r="B22" s="132">
        <f>'23'!I22</f>
        <v>0</v>
      </c>
      <c r="C22" s="133"/>
      <c r="D22" s="139">
        <f t="shared" si="4"/>
        <v>0</v>
      </c>
      <c r="E22" s="135"/>
      <c r="F22" s="136"/>
      <c r="G22" s="137">
        <f>'23'!H22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918"/>
      <c r="L22" s="919"/>
    </row>
    <row r="23" spans="1:12" ht="152.25" hidden="1" customHeight="1">
      <c r="A23" s="29"/>
      <c r="B23" s="132">
        <f>'23'!I23</f>
        <v>0</v>
      </c>
      <c r="C23" s="174"/>
      <c r="D23" s="139">
        <f t="shared" si="4"/>
        <v>0</v>
      </c>
      <c r="E23" s="175"/>
      <c r="F23" s="176"/>
      <c r="G23" s="137">
        <f>'23'!H23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918"/>
      <c r="L23" s="919"/>
    </row>
    <row r="24" spans="1:12" ht="152.25" hidden="1" customHeight="1">
      <c r="A24" s="29"/>
      <c r="B24" s="132">
        <f>'23'!I24</f>
        <v>0</v>
      </c>
      <c r="C24" s="174"/>
      <c r="D24" s="139">
        <f t="shared" si="4"/>
        <v>0</v>
      </c>
      <c r="E24" s="175"/>
      <c r="F24" s="176"/>
      <c r="G24" s="137">
        <f>'23'!H24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918"/>
      <c r="L24" s="919"/>
    </row>
    <row r="25" spans="1:12" ht="152.25" hidden="1" customHeight="1">
      <c r="A25" s="29"/>
      <c r="B25" s="132">
        <f>'23'!I25</f>
        <v>0</v>
      </c>
      <c r="C25" s="174"/>
      <c r="D25" s="139">
        <f t="shared" si="4"/>
        <v>0</v>
      </c>
      <c r="E25" s="175"/>
      <c r="F25" s="176"/>
      <c r="G25" s="137">
        <f>'23'!H25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918"/>
      <c r="L25" s="919"/>
    </row>
    <row r="26" spans="1:12" ht="152.25" hidden="1" customHeight="1">
      <c r="A26" s="29"/>
      <c r="B26" s="132">
        <f>'23'!I26</f>
        <v>0</v>
      </c>
      <c r="C26" s="177"/>
      <c r="D26" s="148">
        <f t="shared" si="4"/>
        <v>0</v>
      </c>
      <c r="E26" s="178"/>
      <c r="F26" s="179"/>
      <c r="G26" s="137">
        <f>'23'!H26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918"/>
      <c r="L26" s="919"/>
    </row>
    <row r="27" spans="1:12" ht="152.25" hidden="1" customHeight="1">
      <c r="A27" s="38"/>
      <c r="B27" s="132">
        <f>'23'!I27</f>
        <v>0</v>
      </c>
      <c r="C27" s="180"/>
      <c r="D27" s="148">
        <f t="shared" si="4"/>
        <v>0</v>
      </c>
      <c r="E27" s="180"/>
      <c r="F27" s="179"/>
      <c r="G27" s="137">
        <f>'23'!H27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118"/>
      <c r="L27" s="119"/>
    </row>
    <row r="28" spans="1:12" ht="152.25" customHeight="1">
      <c r="A28" s="40" t="s">
        <v>114</v>
      </c>
      <c r="B28" s="41"/>
      <c r="C28" s="40">
        <f>SUM(C6:C27)</f>
        <v>0</v>
      </c>
      <c r="D28" s="40">
        <f t="shared" ref="D28:F28" si="5">SUM(D6:D27)</f>
        <v>675</v>
      </c>
      <c r="E28" s="40">
        <f t="shared" si="5"/>
        <v>0</v>
      </c>
      <c r="F28" s="40">
        <f t="shared" si="5"/>
        <v>0</v>
      </c>
      <c r="G28" s="883"/>
      <c r="H28" s="884"/>
      <c r="I28" s="40">
        <f t="shared" ref="I28" si="6">SUM(I6:I27)</f>
        <v>675</v>
      </c>
      <c r="J28" s="111"/>
      <c r="K28" s="920"/>
      <c r="L28" s="921"/>
    </row>
    <row r="29" spans="1:12" ht="152.25" customHeigh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182.25" customHeight="1">
      <c r="A30" s="45"/>
      <c r="B30" s="17" t="s">
        <v>126</v>
      </c>
      <c r="C30" s="17" t="s">
        <v>127</v>
      </c>
      <c r="D30" s="17" t="s">
        <v>128</v>
      </c>
      <c r="E30" s="17" t="s">
        <v>129</v>
      </c>
      <c r="F30" s="17" t="s">
        <v>130</v>
      </c>
      <c r="G30" s="17" t="s">
        <v>131</v>
      </c>
      <c r="H30" s="943" t="s">
        <v>120</v>
      </c>
      <c r="I30" s="944"/>
    </row>
    <row r="31" spans="1:12" ht="152.25" customHeight="1">
      <c r="A31" s="17" t="s">
        <v>132</v>
      </c>
      <c r="B31" s="46">
        <f>'23'!G31</f>
        <v>535</v>
      </c>
      <c r="C31" s="47">
        <v>0</v>
      </c>
      <c r="D31" s="48">
        <f>SUM(B31:C31)</f>
        <v>535</v>
      </c>
      <c r="E31" s="49">
        <f>C28</f>
        <v>0</v>
      </c>
      <c r="F31" s="48">
        <f>E28</f>
        <v>0</v>
      </c>
      <c r="G31" s="50">
        <f>D31-E31</f>
        <v>535</v>
      </c>
      <c r="H31" s="945"/>
      <c r="I31" s="946"/>
    </row>
    <row r="32" spans="1:12" ht="152.25" customHeight="1">
      <c r="A32" s="51" t="s">
        <v>133</v>
      </c>
      <c r="B32" s="52">
        <v>0</v>
      </c>
      <c r="C32" s="47">
        <v>0</v>
      </c>
      <c r="D32" s="48">
        <f>SUM(B32,C32)</f>
        <v>0</v>
      </c>
      <c r="E32" s="53">
        <v>0</v>
      </c>
      <c r="F32" s="54">
        <v>0</v>
      </c>
      <c r="G32" s="50">
        <f>D32-F32</f>
        <v>0</v>
      </c>
      <c r="H32" s="902"/>
      <c r="I32" s="903"/>
      <c r="J32" s="121"/>
    </row>
    <row r="33" spans="1:10" s="1" customFormat="1" ht="137.2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37.25" customHeight="1">
      <c r="A34" s="930" t="s">
        <v>134</v>
      </c>
      <c r="B34" s="931"/>
      <c r="C34" s="931"/>
      <c r="D34" s="931"/>
      <c r="E34" s="931"/>
      <c r="F34" s="931"/>
      <c r="G34" s="932"/>
      <c r="H34" s="59"/>
      <c r="I34" s="59"/>
      <c r="J34" s="84"/>
    </row>
    <row r="35" spans="1:10" ht="200.25" customHeight="1">
      <c r="A35" s="60" t="s">
        <v>135</v>
      </c>
      <c r="B35" s="61" t="s">
        <v>136</v>
      </c>
      <c r="C35" s="62" t="s">
        <v>127</v>
      </c>
      <c r="D35" s="60" t="s">
        <v>137</v>
      </c>
      <c r="E35" s="63" t="s">
        <v>138</v>
      </c>
      <c r="F35" s="16" t="s">
        <v>131</v>
      </c>
      <c r="G35" s="16" t="s">
        <v>42</v>
      </c>
      <c r="H35" s="59"/>
      <c r="I35" s="59"/>
      <c r="J35" s="123"/>
    </row>
    <row r="36" spans="1:10" ht="137.25" customHeight="1">
      <c r="A36" s="64" t="s">
        <v>139</v>
      </c>
      <c r="B36" s="65">
        <f>'23'!F36</f>
        <v>57</v>
      </c>
      <c r="C36" s="66"/>
      <c r="D36" s="67">
        <f>SUM(B36:C36)</f>
        <v>57</v>
      </c>
      <c r="E36" s="68"/>
      <c r="F36" s="67">
        <f>D36-E36</f>
        <v>57</v>
      </c>
      <c r="G36" s="69"/>
      <c r="H36" s="59"/>
      <c r="I36" s="59"/>
    </row>
    <row r="37" spans="1:10" ht="137.25" customHeight="1">
      <c r="A37" s="70" t="s">
        <v>140</v>
      </c>
      <c r="B37" s="65">
        <f>'23'!F37</f>
        <v>225</v>
      </c>
      <c r="C37" s="66"/>
      <c r="D37" s="71">
        <f t="shared" ref="D37:D47" si="7">SUM(B37:C37)</f>
        <v>225</v>
      </c>
      <c r="E37" s="68"/>
      <c r="F37" s="71">
        <f t="shared" ref="F37:F47" si="8">D37-E37</f>
        <v>225</v>
      </c>
      <c r="G37" s="190"/>
      <c r="H37" s="59"/>
      <c r="I37" s="59"/>
    </row>
    <row r="38" spans="1:10" ht="137.25" customHeight="1">
      <c r="A38" s="70" t="s">
        <v>141</v>
      </c>
      <c r="B38" s="65">
        <f>'23'!F38</f>
        <v>245</v>
      </c>
      <c r="C38" s="66"/>
      <c r="D38" s="71">
        <f t="shared" si="7"/>
        <v>245</v>
      </c>
      <c r="E38" s="68"/>
      <c r="F38" s="71">
        <f t="shared" si="8"/>
        <v>245</v>
      </c>
      <c r="G38" s="73"/>
      <c r="H38" s="74"/>
      <c r="I38" s="74"/>
    </row>
    <row r="39" spans="1:10" ht="152.25" customHeight="1">
      <c r="A39" s="70" t="s">
        <v>142</v>
      </c>
      <c r="B39" s="65">
        <f>'23'!F39</f>
        <v>3</v>
      </c>
      <c r="C39" s="66"/>
      <c r="D39" s="71">
        <f t="shared" si="7"/>
        <v>3</v>
      </c>
      <c r="E39" s="68"/>
      <c r="F39" s="71">
        <f t="shared" si="8"/>
        <v>3</v>
      </c>
      <c r="G39" s="190"/>
      <c r="H39" s="59"/>
      <c r="I39" s="59"/>
    </row>
    <row r="40" spans="1:10" ht="137.25" customHeight="1">
      <c r="A40" s="70" t="s">
        <v>143</v>
      </c>
      <c r="B40" s="65">
        <f>'23'!F40</f>
        <v>0</v>
      </c>
      <c r="C40" s="66"/>
      <c r="D40" s="71">
        <f t="shared" si="7"/>
        <v>0</v>
      </c>
      <c r="E40" s="68"/>
      <c r="F40" s="71">
        <f t="shared" si="8"/>
        <v>0</v>
      </c>
      <c r="G40" s="72"/>
      <c r="H40" s="59"/>
      <c r="I40" s="59"/>
    </row>
    <row r="41" spans="1:10" ht="137.25" customHeight="1">
      <c r="A41" s="70" t="s">
        <v>144</v>
      </c>
      <c r="B41" s="65">
        <f>'23'!F41</f>
        <v>0</v>
      </c>
      <c r="C41" s="66"/>
      <c r="D41" s="71">
        <f t="shared" si="7"/>
        <v>0</v>
      </c>
      <c r="E41" s="68"/>
      <c r="F41" s="71">
        <f t="shared" si="8"/>
        <v>0</v>
      </c>
      <c r="G41" s="72"/>
      <c r="H41" s="59"/>
      <c r="I41" s="59"/>
    </row>
    <row r="42" spans="1:10" ht="164.25" customHeight="1">
      <c r="A42" s="70" t="s">
        <v>145</v>
      </c>
      <c r="B42" s="65">
        <f>'23'!F42</f>
        <v>0</v>
      </c>
      <c r="C42" s="66"/>
      <c r="D42" s="71">
        <f t="shared" si="7"/>
        <v>0</v>
      </c>
      <c r="E42" s="68"/>
      <c r="F42" s="71">
        <f t="shared" si="8"/>
        <v>0</v>
      </c>
      <c r="G42" s="72"/>
      <c r="H42" s="59"/>
      <c r="I42" s="59"/>
    </row>
    <row r="43" spans="1:10" ht="167.25" customHeight="1">
      <c r="A43" s="70" t="s">
        <v>86</v>
      </c>
      <c r="B43" s="65">
        <f>'23'!F43</f>
        <v>0</v>
      </c>
      <c r="C43" s="66"/>
      <c r="D43" s="71">
        <f t="shared" si="7"/>
        <v>0</v>
      </c>
      <c r="E43" s="68"/>
      <c r="F43" s="71">
        <f t="shared" si="8"/>
        <v>0</v>
      </c>
      <c r="G43" s="75"/>
      <c r="H43" s="76"/>
      <c r="I43" s="59"/>
      <c r="J43" s="124"/>
    </row>
    <row r="44" spans="1:10" ht="137.25" customHeight="1">
      <c r="A44" s="70" t="s">
        <v>146</v>
      </c>
      <c r="B44" s="65">
        <f>'23'!F44</f>
        <v>10</v>
      </c>
      <c r="C44" s="66"/>
      <c r="D44" s="71">
        <f t="shared" si="7"/>
        <v>10</v>
      </c>
      <c r="E44" s="68"/>
      <c r="F44" s="71">
        <f t="shared" si="8"/>
        <v>10</v>
      </c>
      <c r="G44" s="73"/>
      <c r="H44" s="74"/>
      <c r="I44" s="74"/>
    </row>
    <row r="45" spans="1:10" ht="158.25" customHeight="1">
      <c r="A45" s="70" t="s">
        <v>147</v>
      </c>
      <c r="B45" s="65">
        <f>'23'!F45</f>
        <v>0</v>
      </c>
      <c r="C45" s="66"/>
      <c r="D45" s="71">
        <f t="shared" si="7"/>
        <v>0</v>
      </c>
      <c r="E45" s="68"/>
      <c r="F45" s="71">
        <f t="shared" si="8"/>
        <v>0</v>
      </c>
      <c r="G45" s="77"/>
      <c r="H45" s="57"/>
      <c r="I45" s="76"/>
    </row>
    <row r="46" spans="1:10" ht="167.25" customHeight="1">
      <c r="A46" s="78" t="s">
        <v>148</v>
      </c>
      <c r="B46" s="65">
        <f>'23'!F46</f>
        <v>0</v>
      </c>
      <c r="C46" s="66"/>
      <c r="D46" s="71">
        <f t="shared" si="7"/>
        <v>0</v>
      </c>
      <c r="E46" s="68"/>
      <c r="F46" s="71">
        <f t="shared" si="8"/>
        <v>0</v>
      </c>
      <c r="G46" s="662"/>
      <c r="H46" s="57"/>
      <c r="I46" s="76"/>
    </row>
    <row r="47" spans="1:10" ht="73.5" customHeight="1">
      <c r="A47" s="80" t="s">
        <v>92</v>
      </c>
      <c r="B47" s="65">
        <f>'23'!F47</f>
        <v>0</v>
      </c>
      <c r="C47" s="66"/>
      <c r="D47" s="81">
        <f t="shared" si="7"/>
        <v>0</v>
      </c>
      <c r="E47" s="68"/>
      <c r="F47" s="81">
        <f t="shared" si="8"/>
        <v>0</v>
      </c>
      <c r="G47" s="164"/>
      <c r="H47" s="57"/>
      <c r="I47" s="59"/>
    </row>
    <row r="48" spans="1:10" ht="102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02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02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02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76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" right="0.7" top="0.75" bottom="0.75" header="0.3" footer="0.3"/>
  <pageSetup scale="1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L53"/>
  <sheetViews>
    <sheetView topLeftCell="A43" zoomScale="25" zoomScaleNormal="25" workbookViewId="0">
      <selection activeCell="E6" sqref="E6:F18"/>
    </sheetView>
  </sheetViews>
  <sheetFormatPr defaultColWidth="9" defaultRowHeight="33.75"/>
  <cols>
    <col min="1" max="1" width="120.5703125" style="3" customWidth="1"/>
    <col min="2" max="2" width="68.5703125" style="3" customWidth="1"/>
    <col min="3" max="3" width="57.140625" style="3" customWidth="1"/>
    <col min="4" max="4" width="54.85546875" style="3" customWidth="1"/>
    <col min="5" max="5" width="50.28515625" style="3" customWidth="1"/>
    <col min="6" max="6" width="52" style="3" customWidth="1"/>
    <col min="7" max="7" width="73.140625" style="3" customWidth="1"/>
    <col min="8" max="8" width="69.7109375" style="3" customWidth="1"/>
    <col min="9" max="9" width="48" style="3" customWidth="1"/>
    <col min="10" max="10" width="56" style="3" customWidth="1"/>
    <col min="11" max="12" width="48" style="3" customWidth="1"/>
    <col min="13" max="16384" width="9" style="3"/>
  </cols>
  <sheetData>
    <row r="1" spans="1:12" ht="152.25" customHeight="1">
      <c r="A1" s="935" t="s">
        <v>105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7"/>
    </row>
    <row r="2" spans="1:12" ht="164.25" customHeight="1">
      <c r="A2" s="171" t="s">
        <v>160</v>
      </c>
      <c r="B2" s="5" t="s">
        <v>177</v>
      </c>
      <c r="C2" s="938"/>
      <c r="D2" s="938"/>
      <c r="E2" s="938"/>
      <c r="F2" s="938"/>
      <c r="G2" s="6" t="s">
        <v>107</v>
      </c>
      <c r="H2" s="7" t="s">
        <v>184</v>
      </c>
      <c r="I2" s="949"/>
      <c r="J2" s="949"/>
      <c r="K2" s="949"/>
      <c r="L2" s="950"/>
    </row>
    <row r="3" spans="1:12" ht="152.25" customHeight="1">
      <c r="A3" s="173" t="s">
        <v>108</v>
      </c>
      <c r="B3" s="254" t="s">
        <v>180</v>
      </c>
      <c r="C3" s="9" t="s">
        <v>13</v>
      </c>
      <c r="D3" s="10" t="s">
        <v>14</v>
      </c>
      <c r="E3" s="11" t="s">
        <v>15</v>
      </c>
      <c r="F3" s="12" t="s">
        <v>109</v>
      </c>
      <c r="G3" s="8" t="s">
        <v>110</v>
      </c>
      <c r="H3" s="13"/>
      <c r="I3" s="951"/>
      <c r="J3" s="951"/>
      <c r="K3" s="951"/>
      <c r="L3" s="952"/>
    </row>
    <row r="4" spans="1:12" ht="152.25" customHeight="1">
      <c r="A4" s="939"/>
      <c r="B4" s="940"/>
      <c r="C4" s="14"/>
      <c r="D4" s="14"/>
      <c r="E4" s="14"/>
      <c r="F4" s="14"/>
      <c r="G4" s="15">
        <f>SUM(C4,D4,E4,F4)</f>
        <v>0</v>
      </c>
      <c r="H4" s="13"/>
      <c r="I4" s="953"/>
      <c r="J4" s="953"/>
      <c r="K4" s="953"/>
      <c r="L4" s="954"/>
    </row>
    <row r="5" spans="1:12" ht="248.25" customHeight="1">
      <c r="A5" s="16" t="s">
        <v>111</v>
      </c>
      <c r="B5" s="17" t="s">
        <v>112</v>
      </c>
      <c r="C5" s="17" t="s">
        <v>113</v>
      </c>
      <c r="D5" s="17" t="s">
        <v>114</v>
      </c>
      <c r="E5" s="27" t="s">
        <v>21</v>
      </c>
      <c r="F5" s="17" t="s">
        <v>115</v>
      </c>
      <c r="G5" s="18" t="s">
        <v>116</v>
      </c>
      <c r="H5" s="17" t="s">
        <v>117</v>
      </c>
      <c r="I5" s="17" t="s">
        <v>118</v>
      </c>
      <c r="J5" s="111" t="s">
        <v>119</v>
      </c>
      <c r="K5" s="928" t="s">
        <v>120</v>
      </c>
      <c r="L5" s="929"/>
    </row>
    <row r="6" spans="1:12" ht="173.25" customHeight="1">
      <c r="A6" s="17" t="s">
        <v>161</v>
      </c>
      <c r="B6" s="132">
        <f>'24'!I6</f>
        <v>316</v>
      </c>
      <c r="C6" s="133"/>
      <c r="D6" s="134">
        <f t="shared" ref="D6:D15" si="0">B6+C6</f>
        <v>316</v>
      </c>
      <c r="E6" s="135"/>
      <c r="F6" s="136"/>
      <c r="G6" s="137">
        <f>'24'!H6</f>
        <v>25474.100000000002</v>
      </c>
      <c r="H6" s="138">
        <f>SUM(G6,F6)</f>
        <v>25474.100000000002</v>
      </c>
      <c r="I6" s="165">
        <f>D6-E6</f>
        <v>316</v>
      </c>
      <c r="J6" s="166" t="e">
        <f t="shared" ref="J6:J27" si="1">E6/F6</f>
        <v>#DIV/0!</v>
      </c>
      <c r="K6" s="955"/>
      <c r="L6" s="956"/>
    </row>
    <row r="7" spans="1:12" ht="167.25" customHeight="1">
      <c r="A7" s="17" t="s">
        <v>162</v>
      </c>
      <c r="B7" s="132">
        <f>'24'!I7</f>
        <v>80</v>
      </c>
      <c r="C7" s="133"/>
      <c r="D7" s="139">
        <f t="shared" si="0"/>
        <v>80</v>
      </c>
      <c r="E7" s="135"/>
      <c r="F7" s="136"/>
      <c r="G7" s="137">
        <f>'24'!H7</f>
        <v>1535</v>
      </c>
      <c r="H7" s="134">
        <f t="shared" ref="H7:H27" si="2">SUM(G7,F7)</f>
        <v>1535</v>
      </c>
      <c r="I7" s="167">
        <f t="shared" ref="I7:I27" si="3">D7-E7</f>
        <v>80</v>
      </c>
      <c r="J7" s="168" t="e">
        <f t="shared" si="1"/>
        <v>#DIV/0!</v>
      </c>
      <c r="K7" s="955"/>
      <c r="L7" s="956"/>
    </row>
    <row r="8" spans="1:12" ht="179.25" customHeight="1">
      <c r="A8" s="17" t="s">
        <v>163</v>
      </c>
      <c r="B8" s="132">
        <f>'24'!I8</f>
        <v>123</v>
      </c>
      <c r="C8" s="133"/>
      <c r="D8" s="139">
        <f t="shared" si="0"/>
        <v>123</v>
      </c>
      <c r="E8" s="135"/>
      <c r="F8" s="136"/>
      <c r="G8" s="137">
        <f>'24'!H8</f>
        <v>1501</v>
      </c>
      <c r="H8" s="134">
        <f t="shared" si="2"/>
        <v>1501</v>
      </c>
      <c r="I8" s="167">
        <f t="shared" si="3"/>
        <v>123</v>
      </c>
      <c r="J8" s="168" t="e">
        <f t="shared" si="1"/>
        <v>#DIV/0!</v>
      </c>
      <c r="K8" s="918"/>
      <c r="L8" s="919"/>
    </row>
    <row r="9" spans="1:12" ht="182.25" customHeight="1">
      <c r="A9" s="17" t="s">
        <v>164</v>
      </c>
      <c r="B9" s="132">
        <f>'24'!I9</f>
        <v>95</v>
      </c>
      <c r="C9" s="133"/>
      <c r="D9" s="139">
        <f t="shared" si="0"/>
        <v>95</v>
      </c>
      <c r="E9" s="135"/>
      <c r="F9" s="136"/>
      <c r="G9" s="137">
        <f>'24'!H9</f>
        <v>3370</v>
      </c>
      <c r="H9" s="134">
        <f t="shared" si="2"/>
        <v>3370</v>
      </c>
      <c r="I9" s="167">
        <f t="shared" si="3"/>
        <v>95</v>
      </c>
      <c r="J9" s="168" t="e">
        <f t="shared" si="1"/>
        <v>#DIV/0!</v>
      </c>
      <c r="K9" s="918"/>
      <c r="L9" s="919"/>
    </row>
    <row r="10" spans="1:12" ht="182.25" customHeight="1">
      <c r="A10" s="17" t="s">
        <v>165</v>
      </c>
      <c r="B10" s="132">
        <f>'24'!I10</f>
        <v>26</v>
      </c>
      <c r="C10" s="133"/>
      <c r="D10" s="139">
        <f t="shared" si="0"/>
        <v>26</v>
      </c>
      <c r="E10" s="135"/>
      <c r="F10" s="136"/>
      <c r="G10" s="137">
        <f>'24'!H10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918"/>
      <c r="L10" s="919"/>
    </row>
    <row r="11" spans="1:12" ht="179.25" customHeight="1">
      <c r="A11" s="17" t="s">
        <v>166</v>
      </c>
      <c r="B11" s="132">
        <f>'24'!I11</f>
        <v>0</v>
      </c>
      <c r="C11" s="133"/>
      <c r="D11" s="139">
        <f t="shared" si="0"/>
        <v>0</v>
      </c>
      <c r="E11" s="135"/>
      <c r="F11" s="136"/>
      <c r="G11" s="137">
        <f>'24'!H11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918"/>
      <c r="L11" s="919"/>
    </row>
    <row r="12" spans="1:12" ht="179.25" customHeight="1">
      <c r="A12" s="27" t="s">
        <v>5</v>
      </c>
      <c r="B12" s="132">
        <f>'24'!I12</f>
        <v>0</v>
      </c>
      <c r="C12" s="133"/>
      <c r="D12" s="139">
        <f t="shared" si="0"/>
        <v>0</v>
      </c>
      <c r="E12" s="135"/>
      <c r="F12" s="136"/>
      <c r="G12" s="137">
        <f>'24'!H12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918"/>
      <c r="L12" s="919"/>
    </row>
    <row r="13" spans="1:12" ht="152.25" customHeight="1">
      <c r="A13" s="27" t="s">
        <v>167</v>
      </c>
      <c r="B13" s="132">
        <f>'24'!I13</f>
        <v>35</v>
      </c>
      <c r="C13" s="133"/>
      <c r="D13" s="139">
        <f t="shared" si="0"/>
        <v>35</v>
      </c>
      <c r="E13" s="135"/>
      <c r="F13" s="136"/>
      <c r="G13" s="137">
        <f>'24'!H13</f>
        <v>15</v>
      </c>
      <c r="H13" s="134">
        <f t="shared" si="2"/>
        <v>15</v>
      </c>
      <c r="I13" s="167">
        <f t="shared" si="3"/>
        <v>35</v>
      </c>
      <c r="J13" s="168" t="e">
        <f t="shared" si="1"/>
        <v>#DIV/0!</v>
      </c>
      <c r="K13" s="918"/>
      <c r="L13" s="919"/>
    </row>
    <row r="14" spans="1:12" ht="182.25" customHeight="1">
      <c r="A14" s="27" t="s">
        <v>168</v>
      </c>
      <c r="B14" s="132">
        <f>'24'!I14</f>
        <v>0</v>
      </c>
      <c r="C14" s="133"/>
      <c r="D14" s="139">
        <f t="shared" si="0"/>
        <v>0</v>
      </c>
      <c r="E14" s="135"/>
      <c r="F14" s="136"/>
      <c r="G14" s="137">
        <f>'24'!H14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918"/>
      <c r="L14" s="919"/>
    </row>
    <row r="15" spans="1:12" ht="188.25" customHeight="1">
      <c r="A15" s="27" t="s">
        <v>169</v>
      </c>
      <c r="B15" s="132">
        <f>'24'!I15</f>
        <v>0</v>
      </c>
      <c r="C15" s="133"/>
      <c r="D15" s="139">
        <f t="shared" si="0"/>
        <v>0</v>
      </c>
      <c r="E15" s="135"/>
      <c r="F15" s="136"/>
      <c r="G15" s="137">
        <f>'24'!H15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918"/>
      <c r="L15" s="919"/>
    </row>
    <row r="16" spans="1:12" ht="209.25" customHeight="1">
      <c r="A16" s="27" t="s">
        <v>170</v>
      </c>
      <c r="B16" s="132">
        <f>'24'!I16</f>
        <v>0</v>
      </c>
      <c r="C16" s="133"/>
      <c r="D16" s="139">
        <f t="shared" ref="D16:D27" si="4">C16+B16</f>
        <v>0</v>
      </c>
      <c r="E16" s="135"/>
      <c r="F16" s="136"/>
      <c r="G16" s="137">
        <f>'24'!H16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918"/>
      <c r="L16" s="919"/>
    </row>
    <row r="17" spans="1:12" ht="206.25" customHeight="1">
      <c r="A17" s="27" t="s">
        <v>171</v>
      </c>
      <c r="B17" s="132">
        <f>'24'!I17</f>
        <v>0</v>
      </c>
      <c r="C17" s="133"/>
      <c r="D17" s="139">
        <f t="shared" si="4"/>
        <v>0</v>
      </c>
      <c r="E17" s="135"/>
      <c r="F17" s="136"/>
      <c r="G17" s="137">
        <f>'24'!H17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>
      <c r="A18" s="183" t="s">
        <v>11</v>
      </c>
      <c r="B18" s="132">
        <f>'24'!I18</f>
        <v>0</v>
      </c>
      <c r="C18" s="133"/>
      <c r="D18" s="139">
        <f t="shared" si="4"/>
        <v>0</v>
      </c>
      <c r="E18" s="135"/>
      <c r="F18" s="136"/>
      <c r="G18" s="137">
        <f>'24'!H18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918"/>
      <c r="L18" s="919"/>
    </row>
    <row r="19" spans="1:12" ht="152.25" hidden="1" customHeight="1">
      <c r="A19" s="29"/>
      <c r="B19" s="132">
        <f>'24'!I19</f>
        <v>0</v>
      </c>
      <c r="C19" s="133"/>
      <c r="D19" s="139">
        <f t="shared" si="4"/>
        <v>0</v>
      </c>
      <c r="E19" s="135"/>
      <c r="F19" s="136"/>
      <c r="G19" s="137">
        <f>'24'!H19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918"/>
      <c r="L19" s="919"/>
    </row>
    <row r="20" spans="1:12" ht="152.25" hidden="1" customHeight="1">
      <c r="A20" s="29"/>
      <c r="B20" s="132">
        <f>'24'!I20</f>
        <v>0</v>
      </c>
      <c r="C20" s="133"/>
      <c r="D20" s="139">
        <f t="shared" si="4"/>
        <v>0</v>
      </c>
      <c r="E20" s="135"/>
      <c r="F20" s="136"/>
      <c r="G20" s="137">
        <f>'24'!H20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918"/>
      <c r="L20" s="919"/>
    </row>
    <row r="21" spans="1:12" ht="152.25" hidden="1" customHeight="1">
      <c r="A21" s="29"/>
      <c r="B21" s="132">
        <f>'24'!I21</f>
        <v>0</v>
      </c>
      <c r="C21" s="133"/>
      <c r="D21" s="139">
        <f t="shared" si="4"/>
        <v>0</v>
      </c>
      <c r="E21" s="135"/>
      <c r="F21" s="136"/>
      <c r="G21" s="137">
        <f>'24'!H21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918"/>
      <c r="L21" s="919"/>
    </row>
    <row r="22" spans="1:12" ht="152.25" hidden="1" customHeight="1">
      <c r="A22" s="29"/>
      <c r="B22" s="132">
        <f>'24'!I22</f>
        <v>0</v>
      </c>
      <c r="C22" s="133"/>
      <c r="D22" s="139">
        <f t="shared" si="4"/>
        <v>0</v>
      </c>
      <c r="E22" s="135"/>
      <c r="F22" s="136"/>
      <c r="G22" s="137">
        <f>'24'!H22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918"/>
      <c r="L22" s="919"/>
    </row>
    <row r="23" spans="1:12" ht="152.25" hidden="1" customHeight="1">
      <c r="A23" s="29"/>
      <c r="B23" s="132">
        <f>'24'!I23</f>
        <v>0</v>
      </c>
      <c r="C23" s="174"/>
      <c r="D23" s="139">
        <f t="shared" si="4"/>
        <v>0</v>
      </c>
      <c r="E23" s="175"/>
      <c r="F23" s="176"/>
      <c r="G23" s="137">
        <f>'24'!H23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918"/>
      <c r="L23" s="919"/>
    </row>
    <row r="24" spans="1:12" ht="152.25" hidden="1" customHeight="1">
      <c r="A24" s="29"/>
      <c r="B24" s="132">
        <f>'24'!I24</f>
        <v>0</v>
      </c>
      <c r="C24" s="174"/>
      <c r="D24" s="139">
        <f t="shared" si="4"/>
        <v>0</v>
      </c>
      <c r="E24" s="175"/>
      <c r="F24" s="176"/>
      <c r="G24" s="137">
        <f>'24'!H24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918"/>
      <c r="L24" s="919"/>
    </row>
    <row r="25" spans="1:12" ht="152.25" hidden="1" customHeight="1">
      <c r="A25" s="29"/>
      <c r="B25" s="132">
        <f>'24'!I25</f>
        <v>0</v>
      </c>
      <c r="C25" s="174"/>
      <c r="D25" s="139">
        <f t="shared" si="4"/>
        <v>0</v>
      </c>
      <c r="E25" s="175"/>
      <c r="F25" s="176"/>
      <c r="G25" s="137">
        <f>'24'!H25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918"/>
      <c r="L25" s="919"/>
    </row>
    <row r="26" spans="1:12" ht="152.25" hidden="1" customHeight="1">
      <c r="A26" s="29"/>
      <c r="B26" s="132">
        <f>'24'!I26</f>
        <v>0</v>
      </c>
      <c r="C26" s="177"/>
      <c r="D26" s="148">
        <f t="shared" si="4"/>
        <v>0</v>
      </c>
      <c r="E26" s="178"/>
      <c r="F26" s="179"/>
      <c r="G26" s="137">
        <f>'24'!H26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918"/>
      <c r="L26" s="919"/>
    </row>
    <row r="27" spans="1:12" ht="152.25" hidden="1" customHeight="1">
      <c r="A27" s="38"/>
      <c r="B27" s="132">
        <f>'24'!I27</f>
        <v>0</v>
      </c>
      <c r="C27" s="180"/>
      <c r="D27" s="148">
        <f t="shared" si="4"/>
        <v>0</v>
      </c>
      <c r="E27" s="180"/>
      <c r="F27" s="179"/>
      <c r="G27" s="137">
        <f>'24'!H27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118"/>
      <c r="L27" s="119"/>
    </row>
    <row r="28" spans="1:12" ht="152.25" customHeight="1">
      <c r="A28" s="40" t="s">
        <v>114</v>
      </c>
      <c r="B28" s="41"/>
      <c r="C28" s="40">
        <f>SUM(C6:C27)</f>
        <v>0</v>
      </c>
      <c r="D28" s="40">
        <f t="shared" ref="D28:F28" si="5">SUM(D6:D27)</f>
        <v>675</v>
      </c>
      <c r="E28" s="40">
        <f t="shared" si="5"/>
        <v>0</v>
      </c>
      <c r="F28" s="40">
        <f t="shared" si="5"/>
        <v>0</v>
      </c>
      <c r="G28" s="883"/>
      <c r="H28" s="884"/>
      <c r="I28" s="40">
        <f t="shared" ref="I28" si="6">SUM(I6:I27)</f>
        <v>675</v>
      </c>
      <c r="J28" s="111"/>
      <c r="K28" s="920"/>
      <c r="L28" s="921"/>
    </row>
    <row r="29" spans="1:12" ht="152.25" customHeigh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54.25" customHeight="1">
      <c r="A30" s="45"/>
      <c r="B30" s="17" t="s">
        <v>126</v>
      </c>
      <c r="C30" s="17" t="s">
        <v>127</v>
      </c>
      <c r="D30" s="17" t="s">
        <v>128</v>
      </c>
      <c r="E30" s="17" t="s">
        <v>129</v>
      </c>
      <c r="F30" s="17" t="s">
        <v>130</v>
      </c>
      <c r="G30" s="17" t="s">
        <v>131</v>
      </c>
      <c r="H30" s="943" t="s">
        <v>120</v>
      </c>
      <c r="I30" s="944"/>
    </row>
    <row r="31" spans="1:12" ht="152.25" customHeight="1">
      <c r="A31" s="17" t="s">
        <v>132</v>
      </c>
      <c r="B31" s="153">
        <f>'24'!G31</f>
        <v>535</v>
      </c>
      <c r="C31" s="154">
        <v>0</v>
      </c>
      <c r="D31" s="17">
        <f>SUM(B31:C31)</f>
        <v>535</v>
      </c>
      <c r="E31" s="155">
        <f>C28</f>
        <v>0</v>
      </c>
      <c r="F31" s="17">
        <f>E28</f>
        <v>0</v>
      </c>
      <c r="G31" s="156">
        <f>D31-E31</f>
        <v>535</v>
      </c>
      <c r="H31" s="945"/>
      <c r="I31" s="946"/>
    </row>
    <row r="32" spans="1:12" ht="152.25" customHeight="1">
      <c r="A32" s="51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128.2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28.25" customHeight="1">
      <c r="A34" s="930" t="s">
        <v>134</v>
      </c>
      <c r="B34" s="931"/>
      <c r="C34" s="931"/>
      <c r="D34" s="931"/>
      <c r="E34" s="931"/>
      <c r="F34" s="931"/>
      <c r="G34" s="932"/>
      <c r="H34" s="59"/>
      <c r="I34" s="59"/>
      <c r="J34" s="84"/>
    </row>
    <row r="35" spans="1:10" ht="200.25" customHeight="1">
      <c r="A35" s="60" t="s">
        <v>135</v>
      </c>
      <c r="B35" s="61" t="s">
        <v>136</v>
      </c>
      <c r="C35" s="62" t="s">
        <v>127</v>
      </c>
      <c r="D35" s="60" t="s">
        <v>137</v>
      </c>
      <c r="E35" s="63" t="s">
        <v>138</v>
      </c>
      <c r="F35" s="16" t="s">
        <v>131</v>
      </c>
      <c r="G35" s="16" t="s">
        <v>42</v>
      </c>
      <c r="H35" s="59"/>
      <c r="I35" s="59"/>
      <c r="J35" s="123"/>
    </row>
    <row r="36" spans="1:10" ht="184.5">
      <c r="A36" s="64" t="s">
        <v>139</v>
      </c>
      <c r="B36" s="158">
        <f>'24'!F36</f>
        <v>57</v>
      </c>
      <c r="C36" s="159"/>
      <c r="D36" s="160">
        <f>SUM(B36:C36)</f>
        <v>57</v>
      </c>
      <c r="E36" s="161"/>
      <c r="F36" s="160">
        <f>D36-E36</f>
        <v>57</v>
      </c>
      <c r="G36" s="69"/>
      <c r="H36" s="59"/>
      <c r="I36" s="59"/>
    </row>
    <row r="37" spans="1:10" ht="128.25" customHeight="1">
      <c r="A37" s="70" t="s">
        <v>140</v>
      </c>
      <c r="B37" s="158">
        <f>'24'!F37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72"/>
      <c r="H37" s="59"/>
      <c r="I37" s="59"/>
    </row>
    <row r="38" spans="1:10" ht="128.25" customHeight="1">
      <c r="A38" s="70" t="s">
        <v>141</v>
      </c>
      <c r="B38" s="158">
        <f>'24'!F38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73"/>
      <c r="H38" s="74"/>
      <c r="I38" s="74"/>
    </row>
    <row r="39" spans="1:10" ht="128.25" customHeight="1">
      <c r="A39" s="70" t="s">
        <v>142</v>
      </c>
      <c r="B39" s="158">
        <f>'24'!F39</f>
        <v>3</v>
      </c>
      <c r="C39" s="159"/>
      <c r="D39" s="162">
        <f t="shared" si="7"/>
        <v>3</v>
      </c>
      <c r="E39" s="161"/>
      <c r="F39" s="162">
        <f t="shared" si="8"/>
        <v>3</v>
      </c>
      <c r="G39" s="72"/>
      <c r="H39" s="59"/>
      <c r="I39" s="59"/>
    </row>
    <row r="40" spans="1:10" ht="128.25" customHeight="1">
      <c r="A40" s="70" t="s">
        <v>143</v>
      </c>
      <c r="B40" s="158">
        <f>'24'!F40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67.25" customHeight="1">
      <c r="A41" s="70" t="s">
        <v>144</v>
      </c>
      <c r="B41" s="158">
        <f>'24'!F41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85.25" customHeight="1">
      <c r="A42" s="70" t="s">
        <v>145</v>
      </c>
      <c r="B42" s="158">
        <f>'24'!F42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72"/>
      <c r="H42" s="59"/>
      <c r="I42" s="59"/>
    </row>
    <row r="43" spans="1:10" ht="182.25" customHeight="1">
      <c r="A43" s="70" t="s">
        <v>86</v>
      </c>
      <c r="B43" s="158">
        <f>'24'!F43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28.25" customHeight="1">
      <c r="A44" s="70" t="s">
        <v>146</v>
      </c>
      <c r="B44" s="158">
        <f>'24'!F44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207"/>
      <c r="H44" s="74"/>
      <c r="I44" s="74"/>
    </row>
    <row r="45" spans="1:10" ht="167.25" customHeight="1">
      <c r="A45" s="70" t="s">
        <v>147</v>
      </c>
      <c r="B45" s="158">
        <f>'24'!F45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58.25" customHeight="1">
      <c r="A46" s="78" t="s">
        <v>148</v>
      </c>
      <c r="B46" s="158">
        <f>'24'!F46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211"/>
      <c r="H46" s="57"/>
      <c r="I46" s="76"/>
    </row>
    <row r="47" spans="1:10" ht="115.5" customHeight="1">
      <c r="A47" s="80" t="s">
        <v>92</v>
      </c>
      <c r="B47" s="158">
        <f>'24'!F47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111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11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11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11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115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" right="0.7" top="0.75" bottom="0.75" header="0.3" footer="0.3"/>
  <pageSetup scale="1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53"/>
  <sheetViews>
    <sheetView topLeftCell="A37" zoomScale="20" zoomScaleNormal="20" zoomScaleSheetLayoutView="26" workbookViewId="0">
      <selection activeCell="I7" sqref="I7"/>
    </sheetView>
  </sheetViews>
  <sheetFormatPr defaultColWidth="9" defaultRowHeight="33.75"/>
  <cols>
    <col min="1" max="1" width="110.85546875" style="3" customWidth="1"/>
    <col min="2" max="2" width="72" style="3" customWidth="1"/>
    <col min="3" max="3" width="60.85546875" style="3" customWidth="1"/>
    <col min="4" max="4" width="58.28515625" style="3" customWidth="1"/>
    <col min="5" max="5" width="64.5703125" style="3" customWidth="1"/>
    <col min="6" max="6" width="66.28515625" style="3" customWidth="1"/>
    <col min="7" max="7" width="71.42578125" style="3" customWidth="1"/>
    <col min="8" max="8" width="70.42578125" style="3" customWidth="1"/>
    <col min="9" max="9" width="48" style="3" customWidth="1"/>
    <col min="10" max="10" width="58.85546875" style="3" customWidth="1"/>
    <col min="11" max="12" width="48" style="3" customWidth="1"/>
    <col min="13" max="16384" width="9" style="3"/>
  </cols>
  <sheetData>
    <row r="1" spans="1:12" ht="122.25" customHeight="1">
      <c r="A1" s="935" t="s">
        <v>105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7"/>
    </row>
    <row r="2" spans="1:12" ht="163.5" customHeight="1">
      <c r="A2" s="4" t="s">
        <v>160</v>
      </c>
      <c r="B2" s="185" t="s">
        <v>177</v>
      </c>
      <c r="C2" s="938"/>
      <c r="D2" s="938"/>
      <c r="E2" s="938"/>
      <c r="F2" s="938"/>
      <c r="G2" s="6" t="s">
        <v>107</v>
      </c>
      <c r="H2" s="186"/>
      <c r="I2" s="949"/>
      <c r="J2" s="949"/>
      <c r="K2" s="949"/>
      <c r="L2" s="950"/>
    </row>
    <row r="3" spans="1:12" ht="110.25" customHeight="1">
      <c r="A3" s="8" t="s">
        <v>108</v>
      </c>
      <c r="B3" s="254" t="s">
        <v>180</v>
      </c>
      <c r="C3" s="9" t="s">
        <v>13</v>
      </c>
      <c r="D3" s="10" t="s">
        <v>14</v>
      </c>
      <c r="E3" s="11" t="s">
        <v>15</v>
      </c>
      <c r="F3" s="12" t="s">
        <v>109</v>
      </c>
      <c r="G3" s="8" t="s">
        <v>110</v>
      </c>
      <c r="H3" s="13"/>
      <c r="I3" s="951"/>
      <c r="J3" s="951"/>
      <c r="K3" s="951"/>
      <c r="L3" s="952"/>
    </row>
    <row r="4" spans="1:12" ht="113.25" customHeight="1">
      <c r="A4" s="939"/>
      <c r="B4" s="940"/>
      <c r="C4" s="14"/>
      <c r="D4" s="14"/>
      <c r="E4" s="14"/>
      <c r="F4" s="14"/>
      <c r="G4" s="15">
        <f>SUM(C4,D4,E4,F4)</f>
        <v>0</v>
      </c>
      <c r="H4" s="13"/>
      <c r="I4" s="953"/>
      <c r="J4" s="953"/>
      <c r="K4" s="953"/>
      <c r="L4" s="954"/>
    </row>
    <row r="5" spans="1:12" ht="263.25" customHeight="1">
      <c r="A5" s="16" t="s">
        <v>111</v>
      </c>
      <c r="B5" s="17" t="s">
        <v>112</v>
      </c>
      <c r="C5" s="187" t="s">
        <v>113</v>
      </c>
      <c r="D5" s="187" t="s">
        <v>114</v>
      </c>
      <c r="E5" s="187" t="s">
        <v>21</v>
      </c>
      <c r="F5" s="187" t="s">
        <v>115</v>
      </c>
      <c r="G5" s="18" t="s">
        <v>116</v>
      </c>
      <c r="H5" s="17" t="s">
        <v>117</v>
      </c>
      <c r="I5" s="17" t="s">
        <v>118</v>
      </c>
      <c r="J5" s="111" t="s">
        <v>119</v>
      </c>
      <c r="K5" s="928" t="s">
        <v>120</v>
      </c>
      <c r="L5" s="929"/>
    </row>
    <row r="6" spans="1:12" ht="185.25" thickBot="1">
      <c r="A6" s="17" t="s">
        <v>161</v>
      </c>
      <c r="B6" s="132">
        <f>'25'!I6</f>
        <v>316</v>
      </c>
      <c r="C6" s="133"/>
      <c r="D6" s="134">
        <f t="shared" ref="D6:D15" si="0">B6+C6</f>
        <v>316</v>
      </c>
      <c r="E6" s="135"/>
      <c r="F6" s="136"/>
      <c r="G6" s="137">
        <f>'25'!H6</f>
        <v>25474.100000000002</v>
      </c>
      <c r="H6" s="138">
        <f>SUM(G6,F6)</f>
        <v>25474.100000000002</v>
      </c>
      <c r="I6" s="165">
        <f>D6-E6</f>
        <v>316</v>
      </c>
      <c r="J6" s="166" t="e">
        <f t="shared" ref="J6:J27" si="1">E6/F6</f>
        <v>#DIV/0!</v>
      </c>
      <c r="K6" s="957"/>
      <c r="L6" s="958"/>
    </row>
    <row r="7" spans="1:12" ht="194.25" customHeight="1" thickBot="1">
      <c r="A7" s="17" t="s">
        <v>162</v>
      </c>
      <c r="B7" s="132">
        <f>'25'!I7</f>
        <v>80</v>
      </c>
      <c r="C7" s="133"/>
      <c r="D7" s="139">
        <f t="shared" si="0"/>
        <v>80</v>
      </c>
      <c r="E7" s="135"/>
      <c r="F7" s="136"/>
      <c r="G7" s="137">
        <f>'25'!H7</f>
        <v>1535</v>
      </c>
      <c r="H7" s="134">
        <f t="shared" ref="H7:H27" si="2">SUM(G7,F7)</f>
        <v>1535</v>
      </c>
      <c r="I7" s="167">
        <f t="shared" ref="I7:I27" si="3">D7-E7</f>
        <v>80</v>
      </c>
      <c r="J7" s="168" t="e">
        <f t="shared" si="1"/>
        <v>#DIV/0!</v>
      </c>
      <c r="K7" s="959"/>
      <c r="L7" s="960"/>
    </row>
    <row r="8" spans="1:12" ht="278.45" customHeight="1" thickBot="1">
      <c r="A8" s="17" t="s">
        <v>163</v>
      </c>
      <c r="B8" s="132">
        <f>'25'!I8</f>
        <v>123</v>
      </c>
      <c r="C8" s="133"/>
      <c r="D8" s="139">
        <f t="shared" si="0"/>
        <v>123</v>
      </c>
      <c r="E8" s="135"/>
      <c r="F8" s="136"/>
      <c r="G8" s="137">
        <f>'25'!H8</f>
        <v>1501</v>
      </c>
      <c r="H8" s="134">
        <f t="shared" si="2"/>
        <v>1501</v>
      </c>
      <c r="I8" s="167">
        <f t="shared" si="3"/>
        <v>123</v>
      </c>
      <c r="J8" s="168" t="e">
        <f t="shared" si="1"/>
        <v>#DIV/0!</v>
      </c>
      <c r="K8" s="862"/>
      <c r="L8" s="863"/>
    </row>
    <row r="9" spans="1:12" ht="281.25" customHeight="1">
      <c r="A9" s="17" t="s">
        <v>164</v>
      </c>
      <c r="B9" s="132">
        <f>'25'!I9</f>
        <v>95</v>
      </c>
      <c r="C9" s="133"/>
      <c r="D9" s="139">
        <f t="shared" si="0"/>
        <v>95</v>
      </c>
      <c r="E9" s="135"/>
      <c r="F9" s="136"/>
      <c r="G9" s="137">
        <f>'25'!H9</f>
        <v>3370</v>
      </c>
      <c r="H9" s="134">
        <f t="shared" si="2"/>
        <v>3370</v>
      </c>
      <c r="I9" s="167">
        <f t="shared" si="3"/>
        <v>95</v>
      </c>
      <c r="J9" s="168" t="e">
        <f t="shared" si="1"/>
        <v>#DIV/0!</v>
      </c>
      <c r="K9" s="862"/>
      <c r="L9" s="863"/>
    </row>
    <row r="10" spans="1:12" ht="254.25" customHeight="1">
      <c r="A10" s="17" t="s">
        <v>165</v>
      </c>
      <c r="B10" s="132">
        <f>'25'!I10</f>
        <v>26</v>
      </c>
      <c r="C10" s="133"/>
      <c r="D10" s="139">
        <f t="shared" si="0"/>
        <v>26</v>
      </c>
      <c r="E10" s="135"/>
      <c r="F10" s="136"/>
      <c r="G10" s="137">
        <f>'25'!H10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918"/>
      <c r="L10" s="919"/>
    </row>
    <row r="11" spans="1:12" ht="152.25" customHeight="1">
      <c r="A11" s="17" t="s">
        <v>166</v>
      </c>
      <c r="B11" s="132">
        <f>'25'!I11</f>
        <v>0</v>
      </c>
      <c r="C11" s="133"/>
      <c r="D11" s="139">
        <f t="shared" si="0"/>
        <v>0</v>
      </c>
      <c r="E11" s="135"/>
      <c r="F11" s="136"/>
      <c r="G11" s="137">
        <f>'25'!H11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918"/>
      <c r="L11" s="919"/>
    </row>
    <row r="12" spans="1:12" ht="179.25" customHeight="1">
      <c r="A12" s="17" t="s">
        <v>5</v>
      </c>
      <c r="B12" s="132">
        <f>'25'!I12</f>
        <v>0</v>
      </c>
      <c r="C12" s="133"/>
      <c r="D12" s="139">
        <f t="shared" si="0"/>
        <v>0</v>
      </c>
      <c r="E12" s="135"/>
      <c r="F12" s="136"/>
      <c r="G12" s="137">
        <f>'25'!H12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918"/>
      <c r="L12" s="919"/>
    </row>
    <row r="13" spans="1:12" ht="152.25" customHeight="1">
      <c r="A13" s="17" t="s">
        <v>167</v>
      </c>
      <c r="B13" s="132">
        <f>'25'!I13</f>
        <v>35</v>
      </c>
      <c r="C13" s="133"/>
      <c r="D13" s="139">
        <f t="shared" si="0"/>
        <v>35</v>
      </c>
      <c r="E13" s="135"/>
      <c r="F13" s="136"/>
      <c r="G13" s="137">
        <f>'25'!H13</f>
        <v>15</v>
      </c>
      <c r="H13" s="134">
        <f t="shared" si="2"/>
        <v>15</v>
      </c>
      <c r="I13" s="167">
        <f t="shared" si="3"/>
        <v>35</v>
      </c>
      <c r="J13" s="168" t="e">
        <f t="shared" si="1"/>
        <v>#DIV/0!</v>
      </c>
      <c r="K13" s="918"/>
      <c r="L13" s="919"/>
    </row>
    <row r="14" spans="1:12" ht="164.25" customHeight="1">
      <c r="A14" s="17" t="s">
        <v>168</v>
      </c>
      <c r="B14" s="132">
        <f>'25'!I14</f>
        <v>0</v>
      </c>
      <c r="C14" s="133"/>
      <c r="D14" s="139">
        <f t="shared" si="0"/>
        <v>0</v>
      </c>
      <c r="E14" s="135"/>
      <c r="F14" s="136"/>
      <c r="G14" s="137">
        <f>'25'!H14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212.25" customHeight="1">
      <c r="A15" s="27" t="s">
        <v>169</v>
      </c>
      <c r="B15" s="132">
        <f>'25'!I15</f>
        <v>0</v>
      </c>
      <c r="C15" s="133"/>
      <c r="D15" s="139">
        <f t="shared" si="0"/>
        <v>0</v>
      </c>
      <c r="E15" s="135"/>
      <c r="F15" s="136"/>
      <c r="G15" s="137">
        <f>'25'!H15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862"/>
      <c r="L15" s="863"/>
    </row>
    <row r="16" spans="1:12" ht="194.25" customHeight="1">
      <c r="A16" s="27" t="s">
        <v>170</v>
      </c>
      <c r="B16" s="132">
        <f>'25'!I16</f>
        <v>0</v>
      </c>
      <c r="C16" s="133"/>
      <c r="D16" s="139">
        <f t="shared" ref="D16:D27" si="4">C16+B16</f>
        <v>0</v>
      </c>
      <c r="E16" s="135"/>
      <c r="F16" s="136"/>
      <c r="G16" s="137">
        <f>'25'!H16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918"/>
      <c r="L16" s="919"/>
    </row>
    <row r="17" spans="1:12" ht="182.25" customHeight="1">
      <c r="A17" s="17" t="s">
        <v>171</v>
      </c>
      <c r="B17" s="132">
        <f>'25'!I17</f>
        <v>0</v>
      </c>
      <c r="C17" s="133"/>
      <c r="D17" s="139">
        <f t="shared" si="4"/>
        <v>0</v>
      </c>
      <c r="E17" s="135"/>
      <c r="F17" s="136"/>
      <c r="G17" s="137">
        <f>'25'!H17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918"/>
      <c r="L17" s="919"/>
    </row>
    <row r="18" spans="1:12" ht="152.25" customHeight="1" thickBot="1">
      <c r="A18" s="28" t="s">
        <v>11</v>
      </c>
      <c r="B18" s="132">
        <f>'25'!I18</f>
        <v>0</v>
      </c>
      <c r="C18" s="133"/>
      <c r="D18" s="139">
        <f t="shared" si="4"/>
        <v>0</v>
      </c>
      <c r="E18" s="135"/>
      <c r="F18" s="136"/>
      <c r="G18" s="137">
        <f>'25'!H18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918"/>
      <c r="L18" s="919"/>
    </row>
    <row r="19" spans="1:12" ht="152.25" hidden="1" customHeight="1">
      <c r="A19" s="29"/>
      <c r="B19" s="132">
        <f>'25'!I19</f>
        <v>0</v>
      </c>
      <c r="C19" s="133"/>
      <c r="D19" s="139">
        <f t="shared" si="4"/>
        <v>0</v>
      </c>
      <c r="E19" s="135"/>
      <c r="F19" s="136"/>
      <c r="G19" s="137">
        <f>'25'!H19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918"/>
      <c r="L19" s="919"/>
    </row>
    <row r="20" spans="1:12" ht="152.25" hidden="1" customHeight="1">
      <c r="A20" s="29"/>
      <c r="B20" s="132">
        <f>'25'!I20</f>
        <v>0</v>
      </c>
      <c r="C20" s="133"/>
      <c r="D20" s="139">
        <f t="shared" si="4"/>
        <v>0</v>
      </c>
      <c r="E20" s="135"/>
      <c r="F20" s="136"/>
      <c r="G20" s="137">
        <f>'25'!H20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918"/>
      <c r="L20" s="919"/>
    </row>
    <row r="21" spans="1:12" ht="152.25" hidden="1" customHeight="1">
      <c r="A21" s="29"/>
      <c r="B21" s="132">
        <f>'25'!I21</f>
        <v>0</v>
      </c>
      <c r="C21" s="133"/>
      <c r="D21" s="139">
        <f t="shared" si="4"/>
        <v>0</v>
      </c>
      <c r="E21" s="135"/>
      <c r="F21" s="136"/>
      <c r="G21" s="137">
        <f>'25'!H21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918"/>
      <c r="L21" s="919"/>
    </row>
    <row r="22" spans="1:12" ht="152.25" hidden="1" customHeight="1">
      <c r="A22" s="29"/>
      <c r="B22" s="132">
        <f>'25'!I22</f>
        <v>0</v>
      </c>
      <c r="C22" s="133"/>
      <c r="D22" s="139">
        <f t="shared" si="4"/>
        <v>0</v>
      </c>
      <c r="E22" s="135"/>
      <c r="F22" s="136"/>
      <c r="G22" s="137">
        <f>'25'!H22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918"/>
      <c r="L22" s="919"/>
    </row>
    <row r="23" spans="1:12" ht="152.25" hidden="1" customHeight="1">
      <c r="A23" s="29"/>
      <c r="B23" s="132">
        <f>'25'!I23</f>
        <v>0</v>
      </c>
      <c r="C23" s="174"/>
      <c r="D23" s="139">
        <f t="shared" si="4"/>
        <v>0</v>
      </c>
      <c r="E23" s="175"/>
      <c r="F23" s="176"/>
      <c r="G23" s="137">
        <f>'25'!H23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918"/>
      <c r="L23" s="919"/>
    </row>
    <row r="24" spans="1:12" ht="152.25" hidden="1" customHeight="1">
      <c r="A24" s="29"/>
      <c r="B24" s="132">
        <f>'25'!I24</f>
        <v>0</v>
      </c>
      <c r="C24" s="174"/>
      <c r="D24" s="139">
        <f t="shared" si="4"/>
        <v>0</v>
      </c>
      <c r="E24" s="175"/>
      <c r="F24" s="176"/>
      <c r="G24" s="137">
        <f>'25'!H24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918"/>
      <c r="L24" s="919"/>
    </row>
    <row r="25" spans="1:12" ht="152.25" hidden="1" customHeight="1">
      <c r="A25" s="29"/>
      <c r="B25" s="132">
        <f>'25'!I25</f>
        <v>0</v>
      </c>
      <c r="C25" s="174"/>
      <c r="D25" s="139">
        <f t="shared" si="4"/>
        <v>0</v>
      </c>
      <c r="E25" s="175"/>
      <c r="F25" s="176"/>
      <c r="G25" s="137">
        <f>'25'!H25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918"/>
      <c r="L25" s="919"/>
    </row>
    <row r="26" spans="1:12" ht="152.25" hidden="1" customHeight="1">
      <c r="A26" s="29"/>
      <c r="B26" s="132">
        <f>'25'!I26</f>
        <v>0</v>
      </c>
      <c r="C26" s="177"/>
      <c r="D26" s="148">
        <f t="shared" si="4"/>
        <v>0</v>
      </c>
      <c r="E26" s="178"/>
      <c r="F26" s="179"/>
      <c r="G26" s="137">
        <f>'25'!H26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918"/>
      <c r="L26" s="919"/>
    </row>
    <row r="27" spans="1:12" ht="152.25" hidden="1" customHeight="1">
      <c r="A27" s="38"/>
      <c r="B27" s="132">
        <f>'25'!I27</f>
        <v>0</v>
      </c>
      <c r="C27" s="180"/>
      <c r="D27" s="148">
        <f t="shared" si="4"/>
        <v>0</v>
      </c>
      <c r="E27" s="180"/>
      <c r="F27" s="179"/>
      <c r="G27" s="137">
        <f>'25'!H27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118"/>
      <c r="L27" s="119"/>
    </row>
    <row r="28" spans="1:12" ht="152.25" customHeight="1" thickBot="1">
      <c r="A28" s="40" t="s">
        <v>114</v>
      </c>
      <c r="B28" s="41"/>
      <c r="C28" s="40">
        <f>SUM(C6:C27)</f>
        <v>0</v>
      </c>
      <c r="D28" s="40">
        <f t="shared" ref="D28:F28" si="5">SUM(D6:D27)</f>
        <v>675</v>
      </c>
      <c r="E28" s="40">
        <f t="shared" si="5"/>
        <v>0</v>
      </c>
      <c r="F28" s="40">
        <f t="shared" si="5"/>
        <v>0</v>
      </c>
      <c r="G28" s="883"/>
      <c r="H28" s="884"/>
      <c r="I28" s="40">
        <f t="shared" ref="I28" si="6">SUM(I6:I27)</f>
        <v>675</v>
      </c>
      <c r="J28" s="111"/>
      <c r="K28" s="920"/>
      <c r="L28" s="921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326.25" customHeight="1">
      <c r="A30" s="45"/>
      <c r="B30" s="17" t="s">
        <v>126</v>
      </c>
      <c r="C30" s="17" t="s">
        <v>127</v>
      </c>
      <c r="D30" s="17" t="s">
        <v>128</v>
      </c>
      <c r="E30" s="17" t="s">
        <v>129</v>
      </c>
      <c r="F30" s="17" t="s">
        <v>130</v>
      </c>
      <c r="G30" s="17" t="s">
        <v>131</v>
      </c>
      <c r="H30" s="943" t="s">
        <v>120</v>
      </c>
      <c r="I30" s="944"/>
    </row>
    <row r="31" spans="1:12" ht="152.25" customHeight="1">
      <c r="A31" s="17" t="s">
        <v>132</v>
      </c>
      <c r="B31" s="153">
        <f>'25'!G31</f>
        <v>535</v>
      </c>
      <c r="C31" s="154">
        <v>0</v>
      </c>
      <c r="D31" s="17">
        <f>SUM(B31:C31)</f>
        <v>535</v>
      </c>
      <c r="E31" s="155">
        <f>C28</f>
        <v>0</v>
      </c>
      <c r="F31" s="17">
        <f>E28</f>
        <v>0</v>
      </c>
      <c r="G31" s="156">
        <f>D31-E31</f>
        <v>535</v>
      </c>
      <c r="H31" s="945"/>
      <c r="I31" s="946"/>
    </row>
    <row r="32" spans="1:12" ht="152.25" customHeight="1">
      <c r="A32" s="51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78.7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04.25" customHeight="1">
      <c r="A34" s="930" t="s">
        <v>134</v>
      </c>
      <c r="B34" s="931"/>
      <c r="C34" s="931"/>
      <c r="D34" s="931"/>
      <c r="E34" s="931"/>
      <c r="F34" s="931"/>
      <c r="G34" s="932"/>
      <c r="H34" s="59"/>
      <c r="I34" s="59"/>
      <c r="J34" s="84"/>
    </row>
    <row r="35" spans="1:10" ht="191.25" customHeight="1">
      <c r="A35" s="188" t="s">
        <v>135</v>
      </c>
      <c r="B35" s="61" t="s">
        <v>136</v>
      </c>
      <c r="C35" s="62" t="s">
        <v>127</v>
      </c>
      <c r="D35" s="60" t="s">
        <v>137</v>
      </c>
      <c r="E35" s="63" t="s">
        <v>138</v>
      </c>
      <c r="F35" s="16" t="s">
        <v>131</v>
      </c>
      <c r="G35" s="16" t="s">
        <v>42</v>
      </c>
      <c r="H35" s="59"/>
      <c r="I35" s="59"/>
      <c r="J35" s="123"/>
    </row>
    <row r="36" spans="1:10" ht="189.75" customHeight="1">
      <c r="A36" s="64" t="s">
        <v>139</v>
      </c>
      <c r="B36" s="158">
        <f>'25'!F36</f>
        <v>57</v>
      </c>
      <c r="C36" s="159"/>
      <c r="D36" s="160">
        <f>SUM(B36:C36)</f>
        <v>57</v>
      </c>
      <c r="E36" s="161"/>
      <c r="F36" s="160">
        <f>D36-E36</f>
        <v>57</v>
      </c>
      <c r="G36" s="673"/>
      <c r="H36" s="59"/>
      <c r="I36" s="59"/>
    </row>
    <row r="37" spans="1:10" ht="92.25">
      <c r="A37" s="70" t="s">
        <v>140</v>
      </c>
      <c r="B37" s="158">
        <f>'25'!F37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72"/>
      <c r="H37" s="59"/>
      <c r="I37" s="59"/>
    </row>
    <row r="38" spans="1:10" ht="121.5" customHeight="1">
      <c r="A38" s="70" t="s">
        <v>141</v>
      </c>
      <c r="B38" s="158">
        <f>'25'!F38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73"/>
      <c r="H38" s="74"/>
      <c r="I38" s="74"/>
    </row>
    <row r="39" spans="1:10" ht="184.5">
      <c r="A39" s="70" t="s">
        <v>142</v>
      </c>
      <c r="B39" s="158">
        <f>'25'!F39</f>
        <v>3</v>
      </c>
      <c r="C39" s="159"/>
      <c r="D39" s="162">
        <f t="shared" si="7"/>
        <v>3</v>
      </c>
      <c r="E39" s="161"/>
      <c r="F39" s="162">
        <f t="shared" si="8"/>
        <v>3</v>
      </c>
      <c r="G39" s="672"/>
      <c r="H39" s="59"/>
      <c r="I39" s="59"/>
    </row>
    <row r="40" spans="1:10" ht="184.5">
      <c r="A40" s="70" t="s">
        <v>143</v>
      </c>
      <c r="B40" s="158">
        <f>'25'!F40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84.5">
      <c r="A41" s="70" t="s">
        <v>144</v>
      </c>
      <c r="B41" s="158">
        <f>'25'!F41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84.5">
      <c r="A42" s="70" t="s">
        <v>145</v>
      </c>
      <c r="B42" s="158">
        <f>'25'!F42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72"/>
      <c r="H42" s="59"/>
      <c r="I42" s="59"/>
    </row>
    <row r="43" spans="1:10" ht="184.5">
      <c r="A43" s="70" t="s">
        <v>86</v>
      </c>
      <c r="B43" s="158">
        <f>'25'!F43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36.5" customHeight="1">
      <c r="A44" s="70" t="s">
        <v>146</v>
      </c>
      <c r="B44" s="158">
        <f>'25'!F44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73"/>
      <c r="H44" s="74"/>
      <c r="I44" s="74"/>
    </row>
    <row r="45" spans="1:10" ht="246.75" customHeight="1">
      <c r="A45" s="70" t="s">
        <v>147</v>
      </c>
      <c r="B45" s="158">
        <f>'25'!F45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84.5">
      <c r="A46" s="78" t="s">
        <v>148</v>
      </c>
      <c r="B46" s="158">
        <f>'25'!F46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79"/>
      <c r="H46" s="57"/>
      <c r="I46" s="76"/>
    </row>
    <row r="47" spans="1:10" ht="92.25">
      <c r="A47" s="80" t="s">
        <v>92</v>
      </c>
      <c r="B47" s="158">
        <f>'25'!F47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102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02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02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02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105.7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 ht="44.25" customHeight="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" right="0.7" top="0.75" bottom="0.75" header="0.3" footer="0.3"/>
  <pageSetup scale="10" orientation="portrait" r:id="rId1"/>
  <rowBreaks count="1" manualBreakCount="1">
    <brk id="48" max="11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L53"/>
  <sheetViews>
    <sheetView topLeftCell="A43" zoomScale="20" zoomScaleNormal="20" workbookViewId="0">
      <selection activeCell="E15" sqref="E15:F18"/>
    </sheetView>
  </sheetViews>
  <sheetFormatPr defaultColWidth="9" defaultRowHeight="33.75"/>
  <cols>
    <col min="1" max="1" width="95.42578125" style="3" customWidth="1"/>
    <col min="2" max="2" width="77.85546875" style="3" customWidth="1"/>
    <col min="3" max="3" width="65.7109375" style="3" customWidth="1"/>
    <col min="4" max="4" width="54.28515625" style="3" customWidth="1"/>
    <col min="5" max="5" width="69.140625" style="3" customWidth="1"/>
    <col min="6" max="6" width="65.140625" style="3" customWidth="1"/>
    <col min="7" max="7" width="79.42578125" style="3" customWidth="1"/>
    <col min="8" max="8" width="75.42578125" style="3" customWidth="1"/>
    <col min="9" max="9" width="48" style="3" customWidth="1"/>
    <col min="10" max="10" width="60" style="3" customWidth="1"/>
    <col min="11" max="12" width="48" style="3" customWidth="1"/>
    <col min="13" max="16384" width="9" style="3"/>
  </cols>
  <sheetData>
    <row r="1" spans="1:12" ht="152.25" customHeight="1">
      <c r="A1" s="935" t="s">
        <v>105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7"/>
    </row>
    <row r="2" spans="1:12" ht="164.25" customHeight="1">
      <c r="A2" s="4" t="s">
        <v>160</v>
      </c>
      <c r="B2" s="5" t="s">
        <v>177</v>
      </c>
      <c r="C2" s="938"/>
      <c r="D2" s="938"/>
      <c r="E2" s="938"/>
      <c r="F2" s="938"/>
      <c r="G2" s="172" t="s">
        <v>107</v>
      </c>
      <c r="H2" s="7" t="s">
        <v>185</v>
      </c>
      <c r="I2" s="949"/>
      <c r="J2" s="949"/>
      <c r="K2" s="949"/>
      <c r="L2" s="950"/>
    </row>
    <row r="3" spans="1:12" ht="152.25" customHeight="1">
      <c r="A3" s="8" t="s">
        <v>108</v>
      </c>
      <c r="B3" s="254" t="s">
        <v>180</v>
      </c>
      <c r="C3" s="9" t="s">
        <v>13</v>
      </c>
      <c r="D3" s="10" t="s">
        <v>14</v>
      </c>
      <c r="E3" s="11" t="s">
        <v>15</v>
      </c>
      <c r="F3" s="12" t="s">
        <v>109</v>
      </c>
      <c r="G3" s="8" t="s">
        <v>110</v>
      </c>
      <c r="H3" s="13"/>
      <c r="I3" s="951"/>
      <c r="J3" s="951"/>
      <c r="K3" s="951"/>
      <c r="L3" s="952"/>
    </row>
    <row r="4" spans="1:12" ht="152.25" customHeight="1">
      <c r="A4" s="939"/>
      <c r="B4" s="940"/>
      <c r="C4" s="14"/>
      <c r="D4" s="14"/>
      <c r="E4" s="14"/>
      <c r="F4" s="14"/>
      <c r="G4" s="15">
        <f>SUM(C4,D4,E4,F4)</f>
        <v>0</v>
      </c>
      <c r="H4" s="13"/>
      <c r="I4" s="953"/>
      <c r="J4" s="953"/>
      <c r="K4" s="953"/>
      <c r="L4" s="954"/>
    </row>
    <row r="5" spans="1:12" ht="269.25" customHeight="1">
      <c r="A5" s="16" t="s">
        <v>111</v>
      </c>
      <c r="B5" s="17" t="s">
        <v>112</v>
      </c>
      <c r="C5" s="17" t="s">
        <v>113</v>
      </c>
      <c r="D5" s="17" t="s">
        <v>114</v>
      </c>
      <c r="E5" s="17" t="s">
        <v>21</v>
      </c>
      <c r="F5" s="17" t="s">
        <v>115</v>
      </c>
      <c r="G5" s="18" t="s">
        <v>116</v>
      </c>
      <c r="H5" s="17" t="s">
        <v>117</v>
      </c>
      <c r="I5" s="17" t="s">
        <v>118</v>
      </c>
      <c r="J5" s="111" t="s">
        <v>119</v>
      </c>
      <c r="K5" s="928" t="s">
        <v>120</v>
      </c>
      <c r="L5" s="929"/>
    </row>
    <row r="6" spans="1:12" ht="161.25" customHeight="1" thickBot="1">
      <c r="A6" s="27" t="s">
        <v>161</v>
      </c>
      <c r="B6" s="132">
        <f>'26'!I6</f>
        <v>316</v>
      </c>
      <c r="C6" s="133"/>
      <c r="D6" s="134">
        <f t="shared" ref="D6:D15" si="0">B6+C6</f>
        <v>316</v>
      </c>
      <c r="E6" s="135"/>
      <c r="F6" s="136"/>
      <c r="G6" s="137">
        <f>'26'!H6</f>
        <v>25474.100000000002</v>
      </c>
      <c r="H6" s="138">
        <f>SUM(G6,F6)</f>
        <v>25474.100000000002</v>
      </c>
      <c r="I6" s="165">
        <f>D6-E6</f>
        <v>316</v>
      </c>
      <c r="J6" s="166" t="e">
        <f t="shared" ref="J6:J27" si="1">E6/F6</f>
        <v>#DIV/0!</v>
      </c>
      <c r="K6" s="961"/>
      <c r="L6" s="962"/>
    </row>
    <row r="7" spans="1:12" ht="185.25" customHeight="1" thickBot="1">
      <c r="A7" s="27" t="s">
        <v>162</v>
      </c>
      <c r="B7" s="132">
        <f>'26'!I7</f>
        <v>80</v>
      </c>
      <c r="C7" s="133"/>
      <c r="D7" s="139">
        <f t="shared" si="0"/>
        <v>80</v>
      </c>
      <c r="E7" s="135"/>
      <c r="F7" s="136"/>
      <c r="G7" s="137">
        <f>'26'!H7</f>
        <v>1535</v>
      </c>
      <c r="H7" s="134">
        <f t="shared" ref="H7:H27" si="2">SUM(G7,F7)</f>
        <v>1535</v>
      </c>
      <c r="I7" s="167">
        <f t="shared" ref="I7:I27" si="3">D7-E7</f>
        <v>80</v>
      </c>
      <c r="J7" s="168" t="e">
        <f t="shared" si="1"/>
        <v>#DIV/0!</v>
      </c>
      <c r="K7" s="961"/>
      <c r="L7" s="962"/>
    </row>
    <row r="8" spans="1:12" ht="179.25" customHeight="1" thickBot="1">
      <c r="A8" s="27" t="s">
        <v>163</v>
      </c>
      <c r="B8" s="132">
        <f>'26'!I8</f>
        <v>123</v>
      </c>
      <c r="C8" s="133"/>
      <c r="D8" s="139">
        <f t="shared" si="0"/>
        <v>123</v>
      </c>
      <c r="E8" s="135"/>
      <c r="F8" s="136"/>
      <c r="G8" s="137">
        <f>'26'!H8</f>
        <v>1501</v>
      </c>
      <c r="H8" s="134">
        <f t="shared" si="2"/>
        <v>1501</v>
      </c>
      <c r="I8" s="167">
        <f t="shared" si="3"/>
        <v>123</v>
      </c>
      <c r="J8" s="168" t="e">
        <f t="shared" si="1"/>
        <v>#DIV/0!</v>
      </c>
      <c r="K8" s="918"/>
      <c r="L8" s="919"/>
    </row>
    <row r="9" spans="1:12" ht="395.25" customHeight="1">
      <c r="A9" s="27" t="s">
        <v>164</v>
      </c>
      <c r="B9" s="132">
        <f>'26'!I9</f>
        <v>95</v>
      </c>
      <c r="C9" s="133"/>
      <c r="D9" s="139">
        <f t="shared" si="0"/>
        <v>95</v>
      </c>
      <c r="E9" s="135"/>
      <c r="F9" s="136"/>
      <c r="G9" s="137">
        <f>'26'!H9</f>
        <v>3370</v>
      </c>
      <c r="H9" s="134">
        <f>SUM(G9,F9)</f>
        <v>3370</v>
      </c>
      <c r="I9" s="167">
        <f>D9-E9</f>
        <v>95</v>
      </c>
      <c r="J9" s="168" t="e">
        <f t="shared" si="1"/>
        <v>#DIV/0!</v>
      </c>
      <c r="K9" s="963"/>
      <c r="L9" s="964"/>
    </row>
    <row r="10" spans="1:12" ht="206.25" customHeight="1">
      <c r="A10" s="182" t="s">
        <v>165</v>
      </c>
      <c r="B10" s="132">
        <f>'26'!I10</f>
        <v>26</v>
      </c>
      <c r="C10" s="133"/>
      <c r="D10" s="139">
        <f t="shared" si="0"/>
        <v>26</v>
      </c>
      <c r="E10" s="135"/>
      <c r="F10" s="136"/>
      <c r="G10" s="137">
        <f>'26'!H10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918"/>
      <c r="L10" s="919"/>
    </row>
    <row r="11" spans="1:12" ht="248.1" customHeight="1">
      <c r="A11" s="27" t="s">
        <v>166</v>
      </c>
      <c r="B11" s="132">
        <f>'26'!I11</f>
        <v>0</v>
      </c>
      <c r="C11" s="133"/>
      <c r="D11" s="139">
        <f t="shared" si="0"/>
        <v>0</v>
      </c>
      <c r="E11" s="135"/>
      <c r="F11" s="136"/>
      <c r="G11" s="137">
        <f>'26'!H11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27" t="s">
        <v>5</v>
      </c>
      <c r="B12" s="132">
        <f>'26'!I12</f>
        <v>0</v>
      </c>
      <c r="C12" s="133"/>
      <c r="D12" s="139">
        <f t="shared" si="0"/>
        <v>0</v>
      </c>
      <c r="E12" s="135"/>
      <c r="F12" s="136"/>
      <c r="G12" s="137">
        <f>'26'!H12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918"/>
      <c r="L12" s="919"/>
    </row>
    <row r="13" spans="1:12" ht="152.25" customHeight="1">
      <c r="A13" s="27" t="s">
        <v>167</v>
      </c>
      <c r="B13" s="132">
        <f>'26'!I13</f>
        <v>35</v>
      </c>
      <c r="C13" s="133"/>
      <c r="D13" s="139">
        <f t="shared" si="0"/>
        <v>35</v>
      </c>
      <c r="E13" s="135"/>
      <c r="F13" s="136"/>
      <c r="G13" s="137">
        <f>'26'!H13</f>
        <v>15</v>
      </c>
      <c r="H13" s="134">
        <f t="shared" si="2"/>
        <v>15</v>
      </c>
      <c r="I13" s="167">
        <f t="shared" si="3"/>
        <v>35</v>
      </c>
      <c r="J13" s="168" t="e">
        <f t="shared" si="1"/>
        <v>#DIV/0!</v>
      </c>
      <c r="K13" s="965"/>
      <c r="L13" s="966"/>
    </row>
    <row r="14" spans="1:12" ht="276.75">
      <c r="A14" s="27" t="s">
        <v>168</v>
      </c>
      <c r="B14" s="132">
        <f>'26'!I14</f>
        <v>0</v>
      </c>
      <c r="C14" s="133"/>
      <c r="D14" s="139">
        <f t="shared" si="0"/>
        <v>0</v>
      </c>
      <c r="E14" s="135"/>
      <c r="F14" s="136"/>
      <c r="G14" s="137">
        <f>'26'!H14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918"/>
      <c r="L14" s="919"/>
    </row>
    <row r="15" spans="1:12" ht="225.75" customHeight="1">
      <c r="A15" s="27" t="s">
        <v>169</v>
      </c>
      <c r="B15" s="132">
        <f>'26'!I15</f>
        <v>0</v>
      </c>
      <c r="C15" s="133"/>
      <c r="D15" s="139">
        <f t="shared" si="0"/>
        <v>0</v>
      </c>
      <c r="E15" s="135"/>
      <c r="F15" s="136"/>
      <c r="G15" s="137">
        <f>'26'!H15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918"/>
      <c r="L15" s="919"/>
    </row>
    <row r="16" spans="1:12" ht="174.6" customHeight="1">
      <c r="A16" s="27" t="s">
        <v>170</v>
      </c>
      <c r="B16" s="132">
        <f>'26'!I16</f>
        <v>0</v>
      </c>
      <c r="C16" s="133"/>
      <c r="D16" s="139">
        <f t="shared" ref="D16:D27" si="4">C16+B16</f>
        <v>0</v>
      </c>
      <c r="E16" s="135"/>
      <c r="F16" s="136"/>
      <c r="G16" s="137">
        <f>'26'!H16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918"/>
      <c r="L16" s="919"/>
    </row>
    <row r="17" spans="1:12" ht="276.75">
      <c r="A17" s="27" t="s">
        <v>171</v>
      </c>
      <c r="B17" s="132">
        <f>'26'!I17</f>
        <v>0</v>
      </c>
      <c r="C17" s="133"/>
      <c r="D17" s="139">
        <f t="shared" si="4"/>
        <v>0</v>
      </c>
      <c r="E17" s="135"/>
      <c r="F17" s="136"/>
      <c r="G17" s="137">
        <f>'26'!H17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183" t="s">
        <v>11</v>
      </c>
      <c r="B18" s="132">
        <f>'26'!I18</f>
        <v>0</v>
      </c>
      <c r="C18" s="133"/>
      <c r="D18" s="139">
        <f t="shared" si="4"/>
        <v>0</v>
      </c>
      <c r="E18" s="135"/>
      <c r="F18" s="136"/>
      <c r="G18" s="137">
        <f>'26'!H18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918"/>
      <c r="L18" s="919"/>
    </row>
    <row r="19" spans="1:12" ht="152.25" hidden="1" customHeight="1">
      <c r="A19" s="29"/>
      <c r="B19" s="132">
        <f>'26'!I19</f>
        <v>0</v>
      </c>
      <c r="C19" s="133"/>
      <c r="D19" s="139">
        <f t="shared" si="4"/>
        <v>0</v>
      </c>
      <c r="E19" s="135"/>
      <c r="F19" s="136"/>
      <c r="G19" s="137">
        <f>'26'!H19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918"/>
      <c r="L19" s="919"/>
    </row>
    <row r="20" spans="1:12" ht="152.25" hidden="1" customHeight="1">
      <c r="A20" s="29"/>
      <c r="B20" s="132">
        <f>'26'!I20</f>
        <v>0</v>
      </c>
      <c r="C20" s="133"/>
      <c r="D20" s="139">
        <f t="shared" si="4"/>
        <v>0</v>
      </c>
      <c r="E20" s="135"/>
      <c r="F20" s="136"/>
      <c r="G20" s="137">
        <f>'26'!H20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918"/>
      <c r="L20" s="919"/>
    </row>
    <row r="21" spans="1:12" ht="152.25" hidden="1" customHeight="1">
      <c r="A21" s="29"/>
      <c r="B21" s="132">
        <f>'26'!I21</f>
        <v>0</v>
      </c>
      <c r="C21" s="133"/>
      <c r="D21" s="139">
        <f t="shared" si="4"/>
        <v>0</v>
      </c>
      <c r="E21" s="135"/>
      <c r="F21" s="136"/>
      <c r="G21" s="137">
        <f>'26'!H21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918"/>
      <c r="L21" s="919"/>
    </row>
    <row r="22" spans="1:12" ht="152.25" hidden="1" customHeight="1">
      <c r="A22" s="29"/>
      <c r="B22" s="132">
        <f>'26'!I22</f>
        <v>0</v>
      </c>
      <c r="C22" s="133"/>
      <c r="D22" s="139">
        <f t="shared" si="4"/>
        <v>0</v>
      </c>
      <c r="E22" s="135"/>
      <c r="F22" s="136"/>
      <c r="G22" s="137">
        <f>'26'!H22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918"/>
      <c r="L22" s="919"/>
    </row>
    <row r="23" spans="1:12" ht="152.25" hidden="1" customHeight="1">
      <c r="A23" s="29"/>
      <c r="B23" s="132">
        <f>'26'!I23</f>
        <v>0</v>
      </c>
      <c r="C23" s="174"/>
      <c r="D23" s="139">
        <f t="shared" si="4"/>
        <v>0</v>
      </c>
      <c r="E23" s="175"/>
      <c r="F23" s="176"/>
      <c r="G23" s="137">
        <f>'26'!H23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918"/>
      <c r="L23" s="919"/>
    </row>
    <row r="24" spans="1:12" ht="152.25" hidden="1" customHeight="1">
      <c r="A24" s="29"/>
      <c r="B24" s="132">
        <f>'26'!I24</f>
        <v>0</v>
      </c>
      <c r="C24" s="174"/>
      <c r="D24" s="139">
        <f t="shared" si="4"/>
        <v>0</v>
      </c>
      <c r="E24" s="175"/>
      <c r="F24" s="176"/>
      <c r="G24" s="137">
        <f>'26'!H24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918"/>
      <c r="L24" s="919"/>
    </row>
    <row r="25" spans="1:12" ht="152.25" hidden="1" customHeight="1">
      <c r="A25" s="29"/>
      <c r="B25" s="132">
        <f>'26'!I25</f>
        <v>0</v>
      </c>
      <c r="C25" s="174"/>
      <c r="D25" s="139">
        <f t="shared" si="4"/>
        <v>0</v>
      </c>
      <c r="E25" s="175"/>
      <c r="F25" s="176"/>
      <c r="G25" s="137">
        <f>'26'!H25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918"/>
      <c r="L25" s="919"/>
    </row>
    <row r="26" spans="1:12" ht="152.25" hidden="1" customHeight="1">
      <c r="A26" s="29"/>
      <c r="B26" s="132">
        <f>'26'!I26</f>
        <v>0</v>
      </c>
      <c r="C26" s="177"/>
      <c r="D26" s="148">
        <f t="shared" si="4"/>
        <v>0</v>
      </c>
      <c r="E26" s="178"/>
      <c r="F26" s="179"/>
      <c r="G26" s="137">
        <f>'26'!H26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918"/>
      <c r="L26" s="919"/>
    </row>
    <row r="27" spans="1:12" ht="152.25" hidden="1" customHeight="1">
      <c r="A27" s="38"/>
      <c r="B27" s="132">
        <f>'26'!I27</f>
        <v>0</v>
      </c>
      <c r="C27" s="180"/>
      <c r="D27" s="148">
        <f t="shared" si="4"/>
        <v>0</v>
      </c>
      <c r="E27" s="180"/>
      <c r="F27" s="179"/>
      <c r="G27" s="137">
        <f>'26'!H27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118"/>
      <c r="L27" s="119"/>
    </row>
    <row r="28" spans="1:12" ht="152.25" customHeight="1" thickBot="1">
      <c r="A28" s="40" t="s">
        <v>114</v>
      </c>
      <c r="B28" s="41"/>
      <c r="C28" s="184">
        <f>SUM(C6:C27)</f>
        <v>0</v>
      </c>
      <c r="D28" s="40">
        <f t="shared" ref="D28:F28" si="5">SUM(D6:D27)</f>
        <v>675</v>
      </c>
      <c r="E28" s="40">
        <f t="shared" si="5"/>
        <v>0</v>
      </c>
      <c r="F28" s="40">
        <f t="shared" si="5"/>
        <v>0</v>
      </c>
      <c r="G28" s="883"/>
      <c r="H28" s="884"/>
      <c r="I28" s="40">
        <f t="shared" ref="I28" si="6">SUM(I6:I27)</f>
        <v>675</v>
      </c>
      <c r="J28" s="111"/>
      <c r="K28" s="920"/>
      <c r="L28" s="921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63.25" customHeight="1">
      <c r="A30" s="45"/>
      <c r="B30" s="17" t="s">
        <v>126</v>
      </c>
      <c r="C30" s="17" t="s">
        <v>127</v>
      </c>
      <c r="D30" s="17" t="s">
        <v>128</v>
      </c>
      <c r="E30" s="17" t="s">
        <v>129</v>
      </c>
      <c r="F30" s="17" t="s">
        <v>130</v>
      </c>
      <c r="G30" s="17" t="s">
        <v>131</v>
      </c>
      <c r="H30" s="943" t="s">
        <v>120</v>
      </c>
      <c r="I30" s="944"/>
    </row>
    <row r="31" spans="1:12" ht="152.25" customHeight="1">
      <c r="A31" s="17" t="s">
        <v>132</v>
      </c>
      <c r="B31" s="153">
        <f>'26'!G31</f>
        <v>535</v>
      </c>
      <c r="C31" s="154">
        <v>0</v>
      </c>
      <c r="D31" s="17">
        <f>SUM(B31:C31)</f>
        <v>535</v>
      </c>
      <c r="E31" s="155">
        <f>C28</f>
        <v>0</v>
      </c>
      <c r="F31" s="17">
        <f>E28</f>
        <v>0</v>
      </c>
      <c r="G31" s="156">
        <f>D31-E31</f>
        <v>535</v>
      </c>
      <c r="H31" s="900"/>
      <c r="I31" s="901"/>
    </row>
    <row r="32" spans="1:12" ht="152.25" customHeight="1">
      <c r="A32" s="51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107.2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07.25" customHeight="1">
      <c r="A34" s="930" t="s">
        <v>134</v>
      </c>
      <c r="B34" s="931"/>
      <c r="C34" s="931"/>
      <c r="D34" s="931"/>
      <c r="E34" s="931"/>
      <c r="F34" s="931"/>
      <c r="G34" s="932"/>
      <c r="H34" s="59"/>
      <c r="I34" s="59"/>
      <c r="J34" s="84"/>
    </row>
    <row r="35" spans="1:10" ht="170.25" customHeight="1">
      <c r="A35" s="60" t="s">
        <v>135</v>
      </c>
      <c r="B35" s="61" t="s">
        <v>136</v>
      </c>
      <c r="C35" s="62" t="s">
        <v>127</v>
      </c>
      <c r="D35" s="60" t="s">
        <v>137</v>
      </c>
      <c r="E35" s="63" t="s">
        <v>138</v>
      </c>
      <c r="F35" s="16" t="s">
        <v>131</v>
      </c>
      <c r="G35" s="16" t="s">
        <v>42</v>
      </c>
      <c r="H35" s="59"/>
      <c r="I35" s="59"/>
      <c r="J35" s="123"/>
    </row>
    <row r="36" spans="1:10" ht="184.5">
      <c r="A36" s="64" t="s">
        <v>139</v>
      </c>
      <c r="B36" s="158">
        <f>'26'!F36</f>
        <v>57</v>
      </c>
      <c r="C36" s="159"/>
      <c r="D36" s="160">
        <f>SUM(B36:C36)</f>
        <v>57</v>
      </c>
      <c r="E36" s="161"/>
      <c r="F36" s="160">
        <f>D36-E36</f>
        <v>57</v>
      </c>
      <c r="G36" s="69"/>
      <c r="H36" s="59"/>
      <c r="I36" s="59"/>
    </row>
    <row r="37" spans="1:10" ht="184.5">
      <c r="A37" s="70" t="s">
        <v>140</v>
      </c>
      <c r="B37" s="158">
        <f>'26'!F37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72"/>
      <c r="H37" s="59"/>
      <c r="I37" s="59"/>
    </row>
    <row r="38" spans="1:10" ht="184.5">
      <c r="A38" s="70" t="s">
        <v>141</v>
      </c>
      <c r="B38" s="158">
        <f>'26'!F38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207"/>
      <c r="H38" s="74"/>
      <c r="I38" s="74"/>
    </row>
    <row r="39" spans="1:10" ht="184.5">
      <c r="A39" s="70" t="s">
        <v>142</v>
      </c>
      <c r="B39" s="158">
        <f>'26'!F39</f>
        <v>3</v>
      </c>
      <c r="C39" s="159"/>
      <c r="D39" s="162">
        <f t="shared" si="7"/>
        <v>3</v>
      </c>
      <c r="E39" s="161"/>
      <c r="F39" s="162">
        <f t="shared" si="8"/>
        <v>3</v>
      </c>
      <c r="G39" s="190"/>
      <c r="H39" s="59"/>
      <c r="I39" s="59"/>
    </row>
    <row r="40" spans="1:10" ht="276.75">
      <c r="A40" s="70" t="s">
        <v>143</v>
      </c>
      <c r="B40" s="158">
        <f>'26'!F40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84.5">
      <c r="A41" s="70" t="s">
        <v>144</v>
      </c>
      <c r="B41" s="158">
        <f>'26'!F41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84.5">
      <c r="A42" s="70" t="s">
        <v>145</v>
      </c>
      <c r="B42" s="158">
        <f>'26'!F42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72"/>
      <c r="H42" s="59"/>
      <c r="I42" s="59"/>
    </row>
    <row r="43" spans="1:10" ht="184.5">
      <c r="A43" s="70" t="s">
        <v>86</v>
      </c>
      <c r="B43" s="158">
        <f>'26'!F43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208"/>
      <c r="H43" s="76"/>
      <c r="I43" s="59"/>
      <c r="J43" s="124"/>
    </row>
    <row r="44" spans="1:10" ht="184.5">
      <c r="A44" s="70" t="s">
        <v>146</v>
      </c>
      <c r="B44" s="158">
        <f>'26'!F44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73"/>
      <c r="H44" s="74"/>
      <c r="I44" s="74"/>
    </row>
    <row r="45" spans="1:10" ht="276.75">
      <c r="A45" s="70" t="s">
        <v>147</v>
      </c>
      <c r="B45" s="158">
        <f>'26'!F45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84.5">
      <c r="A46" s="78" t="s">
        <v>148</v>
      </c>
      <c r="B46" s="158">
        <f>'26'!F46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79"/>
      <c r="H46" s="57"/>
      <c r="I46" s="76"/>
    </row>
    <row r="47" spans="1:10" ht="135.75" customHeight="1">
      <c r="A47" s="80" t="s">
        <v>92</v>
      </c>
      <c r="B47" s="158">
        <f>'26'!F47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82"/>
      <c r="H47" s="57"/>
      <c r="I47" s="59"/>
    </row>
    <row r="48" spans="1:10" ht="105.7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90.7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90.7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90.7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91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" right="0.7" top="0.75" bottom="0.75" header="0.3" footer="0.3"/>
  <pageSetup scale="10" fitToWidth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N53"/>
  <sheetViews>
    <sheetView topLeftCell="A28" zoomScale="25" zoomScaleNormal="25" workbookViewId="0">
      <selection activeCell="E8" sqref="E8"/>
    </sheetView>
  </sheetViews>
  <sheetFormatPr defaultColWidth="9" defaultRowHeight="33.75"/>
  <cols>
    <col min="1" max="1" width="101.7109375" style="3" customWidth="1"/>
    <col min="2" max="2" width="69.140625" style="3" customWidth="1"/>
    <col min="3" max="3" width="57.7109375" style="3" customWidth="1"/>
    <col min="4" max="4" width="57.140625" style="3" customWidth="1"/>
    <col min="5" max="5" width="67.42578125" style="3" customWidth="1"/>
    <col min="6" max="6" width="56" style="3" customWidth="1"/>
    <col min="7" max="7" width="59.42578125" style="3" customWidth="1"/>
    <col min="8" max="8" width="68.5703125" style="3" customWidth="1"/>
    <col min="9" max="9" width="48" style="3" customWidth="1"/>
    <col min="10" max="10" width="56.5703125" style="3" customWidth="1"/>
    <col min="11" max="12" width="48" style="3" customWidth="1"/>
    <col min="13" max="16384" width="9" style="3"/>
  </cols>
  <sheetData>
    <row r="1" spans="1:14" ht="152.25" customHeight="1">
      <c r="A1" s="935" t="s">
        <v>105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7"/>
    </row>
    <row r="2" spans="1:14" ht="164.25" customHeight="1">
      <c r="A2" s="171" t="s">
        <v>160</v>
      </c>
      <c r="B2" s="5" t="s">
        <v>177</v>
      </c>
      <c r="C2" s="938"/>
      <c r="D2" s="938"/>
      <c r="E2" s="938"/>
      <c r="F2" s="938"/>
      <c r="G2" s="172" t="s">
        <v>107</v>
      </c>
      <c r="H2" s="186" t="s">
        <v>186</v>
      </c>
      <c r="I2" s="949"/>
      <c r="J2" s="949"/>
      <c r="K2" s="949"/>
      <c r="L2" s="950"/>
    </row>
    <row r="3" spans="1:14" ht="152.25" customHeight="1">
      <c r="A3" s="173" t="s">
        <v>108</v>
      </c>
      <c r="B3" s="254" t="s">
        <v>180</v>
      </c>
      <c r="C3" s="9" t="s">
        <v>13</v>
      </c>
      <c r="D3" s="10" t="s">
        <v>14</v>
      </c>
      <c r="E3" s="11" t="s">
        <v>15</v>
      </c>
      <c r="F3" s="12" t="s">
        <v>109</v>
      </c>
      <c r="G3" s="8" t="s">
        <v>110</v>
      </c>
      <c r="H3" s="13"/>
      <c r="I3" s="951"/>
      <c r="J3" s="951"/>
      <c r="K3" s="951"/>
      <c r="L3" s="952"/>
    </row>
    <row r="4" spans="1:14" ht="152.25" customHeight="1">
      <c r="A4" s="939"/>
      <c r="B4" s="940"/>
      <c r="C4" s="14"/>
      <c r="D4" s="14"/>
      <c r="E4" s="14"/>
      <c r="F4" s="14"/>
      <c r="G4" s="15">
        <f>SUM(C4,D4,E4,F4)</f>
        <v>0</v>
      </c>
      <c r="H4" s="13"/>
      <c r="I4" s="953"/>
      <c r="J4" s="953"/>
      <c r="K4" s="953"/>
      <c r="L4" s="954"/>
    </row>
    <row r="5" spans="1:14" ht="257.25" customHeight="1">
      <c r="A5" s="16" t="s">
        <v>111</v>
      </c>
      <c r="B5" s="17" t="s">
        <v>112</v>
      </c>
      <c r="C5" s="17" t="s">
        <v>113</v>
      </c>
      <c r="D5" s="17" t="s">
        <v>114</v>
      </c>
      <c r="E5" s="17" t="s">
        <v>21</v>
      </c>
      <c r="F5" s="17" t="s">
        <v>115</v>
      </c>
      <c r="G5" s="18" t="s">
        <v>116</v>
      </c>
      <c r="H5" s="17" t="s">
        <v>117</v>
      </c>
      <c r="I5" s="17" t="s">
        <v>118</v>
      </c>
      <c r="J5" s="111" t="s">
        <v>119</v>
      </c>
      <c r="K5" s="928" t="s">
        <v>120</v>
      </c>
      <c r="L5" s="929"/>
    </row>
    <row r="6" spans="1:14" ht="152.25" customHeight="1">
      <c r="A6" s="17" t="s">
        <v>161</v>
      </c>
      <c r="B6" s="132">
        <f>'27'!I6</f>
        <v>316</v>
      </c>
      <c r="C6" s="133"/>
      <c r="D6" s="134">
        <f t="shared" ref="D6:D15" si="0">B6+C6</f>
        <v>316</v>
      </c>
      <c r="E6" s="135"/>
      <c r="F6" s="136"/>
      <c r="G6" s="137">
        <f>'27'!H6</f>
        <v>25474.100000000002</v>
      </c>
      <c r="H6" s="138">
        <f>SUM(G6,F6)</f>
        <v>25474.100000000002</v>
      </c>
      <c r="I6" s="165">
        <f>D6-E6</f>
        <v>316</v>
      </c>
      <c r="J6" s="166" t="e">
        <f t="shared" ref="J6:J27" si="1">E6/F6</f>
        <v>#DIV/0!</v>
      </c>
      <c r="K6" s="967"/>
      <c r="L6" s="917"/>
      <c r="M6" s="181"/>
      <c r="N6" s="181"/>
    </row>
    <row r="7" spans="1:14" ht="179.25" customHeight="1">
      <c r="A7" s="17" t="s">
        <v>162</v>
      </c>
      <c r="B7" s="132">
        <f>'27'!I7</f>
        <v>80</v>
      </c>
      <c r="C7" s="133"/>
      <c r="D7" s="139">
        <f t="shared" si="0"/>
        <v>80</v>
      </c>
      <c r="E7" s="135"/>
      <c r="F7" s="136"/>
      <c r="G7" s="137">
        <f>'27'!H7</f>
        <v>1535</v>
      </c>
      <c r="H7" s="134">
        <f t="shared" ref="H7:H27" si="2">SUM(G7,F7)</f>
        <v>1535</v>
      </c>
      <c r="I7" s="167">
        <f t="shared" ref="I7:I27" si="3">D7-E7</f>
        <v>80</v>
      </c>
      <c r="J7" s="168" t="e">
        <f t="shared" si="1"/>
        <v>#DIV/0!</v>
      </c>
      <c r="K7" s="968"/>
      <c r="L7" s="969"/>
      <c r="M7" s="181"/>
      <c r="N7" s="181"/>
    </row>
    <row r="8" spans="1:14" ht="179.25" customHeight="1">
      <c r="A8" s="17" t="s">
        <v>163</v>
      </c>
      <c r="B8" s="132">
        <f>'27'!I8</f>
        <v>123</v>
      </c>
      <c r="C8" s="133"/>
      <c r="D8" s="139">
        <f t="shared" si="0"/>
        <v>123</v>
      </c>
      <c r="E8" s="135"/>
      <c r="F8" s="136"/>
      <c r="G8" s="137">
        <f>'27'!H8</f>
        <v>1501</v>
      </c>
      <c r="H8" s="134">
        <f t="shared" si="2"/>
        <v>1501</v>
      </c>
      <c r="I8" s="167">
        <f t="shared" si="3"/>
        <v>123</v>
      </c>
      <c r="J8" s="168" t="e">
        <f t="shared" si="1"/>
        <v>#DIV/0!</v>
      </c>
      <c r="K8" s="918"/>
      <c r="L8" s="919"/>
      <c r="M8" s="181"/>
      <c r="N8" s="181"/>
    </row>
    <row r="9" spans="1:14" ht="215.25" customHeight="1">
      <c r="A9" s="17" t="s">
        <v>164</v>
      </c>
      <c r="B9" s="132">
        <f>'27'!I9</f>
        <v>95</v>
      </c>
      <c r="C9" s="133"/>
      <c r="D9" s="139">
        <f t="shared" si="0"/>
        <v>95</v>
      </c>
      <c r="E9" s="135"/>
      <c r="F9" s="136"/>
      <c r="G9" s="137">
        <f>'27'!H9</f>
        <v>3370</v>
      </c>
      <c r="H9" s="134">
        <f t="shared" si="2"/>
        <v>3370</v>
      </c>
      <c r="I9" s="167">
        <f t="shared" si="3"/>
        <v>95</v>
      </c>
      <c r="J9" s="168" t="e">
        <f t="shared" si="1"/>
        <v>#DIV/0!</v>
      </c>
      <c r="K9" s="970"/>
      <c r="L9" s="971"/>
      <c r="M9" s="181"/>
      <c r="N9" s="181"/>
    </row>
    <row r="10" spans="1:14" ht="152.25" customHeight="1">
      <c r="A10" s="17" t="s">
        <v>165</v>
      </c>
      <c r="B10" s="132">
        <f>'27'!I10</f>
        <v>26</v>
      </c>
      <c r="C10" s="133"/>
      <c r="D10" s="139">
        <f t="shared" si="0"/>
        <v>26</v>
      </c>
      <c r="E10" s="135"/>
      <c r="F10" s="136"/>
      <c r="G10" s="137">
        <f>'27'!H10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918"/>
      <c r="L10" s="919"/>
      <c r="M10" s="181"/>
      <c r="N10" s="181"/>
    </row>
    <row r="11" spans="1:14" ht="152.25" customHeight="1">
      <c r="A11" s="17" t="s">
        <v>166</v>
      </c>
      <c r="B11" s="132">
        <f>'27'!I11</f>
        <v>0</v>
      </c>
      <c r="C11" s="133"/>
      <c r="D11" s="139">
        <f t="shared" si="0"/>
        <v>0</v>
      </c>
      <c r="E11" s="135"/>
      <c r="F11" s="136"/>
      <c r="G11" s="137">
        <f>'27'!H11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918"/>
      <c r="L11" s="919"/>
      <c r="M11" s="181"/>
      <c r="N11" s="181"/>
    </row>
    <row r="12" spans="1:14" ht="152.25" customHeight="1">
      <c r="A12" s="17" t="s">
        <v>5</v>
      </c>
      <c r="B12" s="132">
        <f>'27'!I12</f>
        <v>0</v>
      </c>
      <c r="C12" s="133"/>
      <c r="D12" s="139">
        <f t="shared" si="0"/>
        <v>0</v>
      </c>
      <c r="E12" s="135"/>
      <c r="F12" s="136"/>
      <c r="G12" s="137">
        <f>'27'!H12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918"/>
      <c r="L12" s="919"/>
      <c r="M12" s="181"/>
      <c r="N12" s="181"/>
    </row>
    <row r="13" spans="1:14" ht="152.25" customHeight="1">
      <c r="A13" s="27" t="s">
        <v>167</v>
      </c>
      <c r="B13" s="132">
        <f>'27'!I13</f>
        <v>35</v>
      </c>
      <c r="C13" s="133"/>
      <c r="D13" s="139">
        <f t="shared" si="0"/>
        <v>35</v>
      </c>
      <c r="E13" s="135"/>
      <c r="F13" s="136"/>
      <c r="G13" s="137">
        <f>'27'!H13</f>
        <v>15</v>
      </c>
      <c r="H13" s="134">
        <f t="shared" si="2"/>
        <v>15</v>
      </c>
      <c r="I13" s="167">
        <f t="shared" si="3"/>
        <v>35</v>
      </c>
      <c r="J13" s="168" t="e">
        <f t="shared" si="1"/>
        <v>#DIV/0!</v>
      </c>
      <c r="K13" s="918"/>
      <c r="L13" s="919"/>
      <c r="M13" s="181"/>
      <c r="N13" s="181"/>
    </row>
    <row r="14" spans="1:14" ht="191.25" customHeight="1">
      <c r="A14" s="27" t="s">
        <v>168</v>
      </c>
      <c r="B14" s="132">
        <f>'27'!I14</f>
        <v>0</v>
      </c>
      <c r="C14" s="133"/>
      <c r="D14" s="139">
        <f t="shared" si="0"/>
        <v>0</v>
      </c>
      <c r="E14" s="135"/>
      <c r="F14" s="136"/>
      <c r="G14" s="137">
        <f>'27'!H14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  <c r="M14" s="181"/>
      <c r="N14" s="181"/>
    </row>
    <row r="15" spans="1:14" ht="221.25" customHeight="1">
      <c r="A15" s="27" t="s">
        <v>169</v>
      </c>
      <c r="B15" s="132">
        <f>'27'!I15</f>
        <v>0</v>
      </c>
      <c r="C15" s="133"/>
      <c r="D15" s="139">
        <f t="shared" si="0"/>
        <v>0</v>
      </c>
      <c r="E15" s="135"/>
      <c r="F15" s="136"/>
      <c r="G15" s="137">
        <f>'27'!H15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965"/>
      <c r="L15" s="966"/>
      <c r="M15" s="181"/>
      <c r="N15" s="181"/>
    </row>
    <row r="16" spans="1:14" ht="209.25" customHeight="1">
      <c r="A16" s="27" t="s">
        <v>170</v>
      </c>
      <c r="B16" s="132">
        <f>'27'!I16</f>
        <v>0</v>
      </c>
      <c r="C16" s="133"/>
      <c r="D16" s="139">
        <f t="shared" ref="D16:D27" si="4">C16+B16</f>
        <v>0</v>
      </c>
      <c r="E16" s="135"/>
      <c r="F16" s="136"/>
      <c r="G16" s="137">
        <f>'27'!H16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918"/>
      <c r="L16" s="919"/>
      <c r="M16" s="181"/>
      <c r="N16" s="181"/>
    </row>
    <row r="17" spans="1:14" ht="176.25" customHeight="1">
      <c r="A17" s="27" t="s">
        <v>171</v>
      </c>
      <c r="B17" s="132">
        <f>'27'!I17</f>
        <v>0</v>
      </c>
      <c r="C17" s="133"/>
      <c r="D17" s="139">
        <f t="shared" si="4"/>
        <v>0</v>
      </c>
      <c r="E17" s="135"/>
      <c r="F17" s="136"/>
      <c r="G17" s="137">
        <f>'27'!H17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918"/>
      <c r="L17" s="919"/>
      <c r="M17" s="181"/>
      <c r="N17" s="181"/>
    </row>
    <row r="18" spans="1:14" ht="152.25" customHeight="1">
      <c r="A18" s="28" t="s">
        <v>11</v>
      </c>
      <c r="B18" s="132">
        <f>'27'!I18</f>
        <v>0</v>
      </c>
      <c r="C18" s="133"/>
      <c r="D18" s="139">
        <f t="shared" si="4"/>
        <v>0</v>
      </c>
      <c r="E18" s="135"/>
      <c r="F18" s="136"/>
      <c r="G18" s="137">
        <f>'27'!H18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918"/>
      <c r="L18" s="919"/>
      <c r="M18" s="181"/>
      <c r="N18" s="181"/>
    </row>
    <row r="19" spans="1:14" ht="152.25" hidden="1" customHeight="1">
      <c r="A19" s="29"/>
      <c r="B19" s="132">
        <f>'27'!I19</f>
        <v>0</v>
      </c>
      <c r="C19" s="133"/>
      <c r="D19" s="139">
        <f t="shared" si="4"/>
        <v>0</v>
      </c>
      <c r="E19" s="135"/>
      <c r="F19" s="136"/>
      <c r="G19" s="137">
        <f>'27'!H19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918"/>
      <c r="L19" s="919"/>
      <c r="M19" s="181"/>
      <c r="N19" s="181"/>
    </row>
    <row r="20" spans="1:14" ht="152.25" hidden="1" customHeight="1">
      <c r="A20" s="29"/>
      <c r="B20" s="132">
        <f>'27'!I20</f>
        <v>0</v>
      </c>
      <c r="C20" s="133"/>
      <c r="D20" s="139">
        <f t="shared" si="4"/>
        <v>0</v>
      </c>
      <c r="E20" s="135"/>
      <c r="F20" s="136"/>
      <c r="G20" s="137">
        <f>'27'!H20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918"/>
      <c r="L20" s="919"/>
      <c r="M20" s="181"/>
      <c r="N20" s="181"/>
    </row>
    <row r="21" spans="1:14" ht="152.25" hidden="1" customHeight="1">
      <c r="A21" s="29"/>
      <c r="B21" s="132">
        <f>'27'!I21</f>
        <v>0</v>
      </c>
      <c r="C21" s="133"/>
      <c r="D21" s="139">
        <f t="shared" si="4"/>
        <v>0</v>
      </c>
      <c r="E21" s="135"/>
      <c r="F21" s="136"/>
      <c r="G21" s="137">
        <f>'27'!H21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918"/>
      <c r="L21" s="919"/>
      <c r="M21" s="181"/>
      <c r="N21" s="181"/>
    </row>
    <row r="22" spans="1:14" ht="152.25" hidden="1" customHeight="1">
      <c r="A22" s="29"/>
      <c r="B22" s="132">
        <f>'27'!I22</f>
        <v>0</v>
      </c>
      <c r="C22" s="133"/>
      <c r="D22" s="139">
        <f t="shared" si="4"/>
        <v>0</v>
      </c>
      <c r="E22" s="135"/>
      <c r="F22" s="136"/>
      <c r="G22" s="137">
        <f>'27'!H22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918"/>
      <c r="L22" s="919"/>
      <c r="M22" s="181"/>
      <c r="N22" s="181"/>
    </row>
    <row r="23" spans="1:14" ht="152.25" hidden="1" customHeight="1">
      <c r="A23" s="29"/>
      <c r="B23" s="132">
        <f>'27'!I23</f>
        <v>0</v>
      </c>
      <c r="C23" s="174"/>
      <c r="D23" s="139">
        <f t="shared" si="4"/>
        <v>0</v>
      </c>
      <c r="E23" s="175"/>
      <c r="F23" s="176"/>
      <c r="G23" s="137">
        <f>'27'!H23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918"/>
      <c r="L23" s="919"/>
      <c r="M23" s="181"/>
      <c r="N23" s="181"/>
    </row>
    <row r="24" spans="1:14" ht="152.25" hidden="1" customHeight="1">
      <c r="A24" s="29"/>
      <c r="B24" s="132">
        <f>'27'!I24</f>
        <v>0</v>
      </c>
      <c r="C24" s="174"/>
      <c r="D24" s="139">
        <f t="shared" si="4"/>
        <v>0</v>
      </c>
      <c r="E24" s="175"/>
      <c r="F24" s="176"/>
      <c r="G24" s="137">
        <f>'27'!H24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918"/>
      <c r="L24" s="919"/>
      <c r="M24" s="181"/>
      <c r="N24" s="181"/>
    </row>
    <row r="25" spans="1:14" ht="152.25" hidden="1" customHeight="1">
      <c r="A25" s="29"/>
      <c r="B25" s="132">
        <f>'27'!I25</f>
        <v>0</v>
      </c>
      <c r="C25" s="174"/>
      <c r="D25" s="139">
        <f t="shared" si="4"/>
        <v>0</v>
      </c>
      <c r="E25" s="175"/>
      <c r="F25" s="176"/>
      <c r="G25" s="137">
        <f>'27'!H25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918"/>
      <c r="L25" s="919"/>
      <c r="M25" s="181"/>
      <c r="N25" s="181"/>
    </row>
    <row r="26" spans="1:14" ht="152.25" hidden="1" customHeight="1">
      <c r="A26" s="29"/>
      <c r="B26" s="132">
        <f>'27'!I26</f>
        <v>0</v>
      </c>
      <c r="C26" s="177"/>
      <c r="D26" s="148">
        <f t="shared" si="4"/>
        <v>0</v>
      </c>
      <c r="E26" s="178"/>
      <c r="F26" s="179"/>
      <c r="G26" s="137">
        <f>'27'!H26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918"/>
      <c r="L26" s="919"/>
      <c r="M26" s="181"/>
      <c r="N26" s="181"/>
    </row>
    <row r="27" spans="1:14" ht="152.25" hidden="1" customHeight="1">
      <c r="A27" s="38"/>
      <c r="B27" s="132">
        <f>'27'!I27</f>
        <v>0</v>
      </c>
      <c r="C27" s="180"/>
      <c r="D27" s="148">
        <f t="shared" si="4"/>
        <v>0</v>
      </c>
      <c r="E27" s="180"/>
      <c r="F27" s="179"/>
      <c r="G27" s="137">
        <f>'27'!H27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118"/>
      <c r="L27" s="119"/>
      <c r="M27" s="181"/>
      <c r="N27" s="181"/>
    </row>
    <row r="28" spans="1:14" ht="152.25" customHeight="1">
      <c r="A28" s="40" t="s">
        <v>114</v>
      </c>
      <c r="B28" s="41"/>
      <c r="C28" s="40">
        <f>SUM(C6:C27)</f>
        <v>0</v>
      </c>
      <c r="D28" s="40">
        <f t="shared" ref="D28:F28" si="5">SUM(D6:D27)</f>
        <v>675</v>
      </c>
      <c r="E28" s="40">
        <f t="shared" si="5"/>
        <v>0</v>
      </c>
      <c r="F28" s="40">
        <f t="shared" si="5"/>
        <v>0</v>
      </c>
      <c r="G28" s="883"/>
      <c r="H28" s="884"/>
      <c r="I28" s="40">
        <f t="shared" ref="I28" si="6">SUM(I6:I27)</f>
        <v>675</v>
      </c>
      <c r="J28" s="111"/>
      <c r="K28" s="920"/>
      <c r="L28" s="921"/>
      <c r="M28" s="181"/>
      <c r="N28" s="181"/>
    </row>
    <row r="29" spans="1:14" ht="152.25" customHeigh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4" ht="260.25" customHeight="1">
      <c r="A30" s="45"/>
      <c r="B30" s="17" t="s">
        <v>126</v>
      </c>
      <c r="C30" s="17" t="s">
        <v>127</v>
      </c>
      <c r="D30" s="17" t="s">
        <v>128</v>
      </c>
      <c r="E30" s="17" t="s">
        <v>129</v>
      </c>
      <c r="F30" s="17" t="s">
        <v>130</v>
      </c>
      <c r="G30" s="17" t="s">
        <v>131</v>
      </c>
      <c r="H30" s="943" t="s">
        <v>120</v>
      </c>
      <c r="I30" s="944"/>
    </row>
    <row r="31" spans="1:14" ht="152.25" customHeight="1">
      <c r="A31" s="17" t="s">
        <v>132</v>
      </c>
      <c r="B31" s="46">
        <f>'27'!G31</f>
        <v>535</v>
      </c>
      <c r="C31" s="47">
        <v>0</v>
      </c>
      <c r="D31" s="48">
        <f>SUM(B31:C31)</f>
        <v>535</v>
      </c>
      <c r="E31" s="49">
        <f>C28</f>
        <v>0</v>
      </c>
      <c r="F31" s="48">
        <f>E28</f>
        <v>0</v>
      </c>
      <c r="G31" s="50">
        <f>D31-E31</f>
        <v>535</v>
      </c>
      <c r="H31" s="945"/>
      <c r="I31" s="946"/>
    </row>
    <row r="32" spans="1:14" ht="152.25" customHeight="1">
      <c r="A32" s="51" t="s">
        <v>133</v>
      </c>
      <c r="B32" s="52">
        <v>0</v>
      </c>
      <c r="C32" s="47">
        <v>0</v>
      </c>
      <c r="D32" s="48">
        <f>SUM(B32,C32)</f>
        <v>0</v>
      </c>
      <c r="E32" s="53">
        <v>0</v>
      </c>
      <c r="F32" s="54">
        <v>0</v>
      </c>
      <c r="G32" s="50">
        <f>D32-F32</f>
        <v>0</v>
      </c>
      <c r="H32" s="902"/>
      <c r="I32" s="903"/>
      <c r="J32" s="121"/>
    </row>
    <row r="33" spans="1:10" s="1" customFormat="1" ht="69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30.5" customHeight="1">
      <c r="A34" s="930" t="s">
        <v>134</v>
      </c>
      <c r="B34" s="931"/>
      <c r="C34" s="931"/>
      <c r="D34" s="931"/>
      <c r="E34" s="931"/>
      <c r="F34" s="931"/>
      <c r="G34" s="932"/>
      <c r="H34" s="59"/>
      <c r="I34" s="59"/>
      <c r="J34" s="84"/>
    </row>
    <row r="35" spans="1:10" ht="196.5" customHeight="1">
      <c r="A35" s="60" t="s">
        <v>135</v>
      </c>
      <c r="B35" s="61" t="s">
        <v>136</v>
      </c>
      <c r="C35" s="62" t="s">
        <v>127</v>
      </c>
      <c r="D35" s="60" t="s">
        <v>137</v>
      </c>
      <c r="E35" s="63" t="s">
        <v>138</v>
      </c>
      <c r="F35" s="16" t="s">
        <v>131</v>
      </c>
      <c r="G35" s="16" t="s">
        <v>42</v>
      </c>
      <c r="H35" s="59"/>
      <c r="I35" s="59"/>
      <c r="J35" s="123"/>
    </row>
    <row r="36" spans="1:10" ht="184.5">
      <c r="A36" s="64" t="s">
        <v>139</v>
      </c>
      <c r="B36" s="158">
        <f>'27'!F36</f>
        <v>57</v>
      </c>
      <c r="C36" s="159"/>
      <c r="D36" s="160">
        <f>SUM(B36:C36)</f>
        <v>57</v>
      </c>
      <c r="E36" s="161"/>
      <c r="F36" s="160">
        <f>D36-E36</f>
        <v>57</v>
      </c>
      <c r="G36" s="295"/>
      <c r="H36" s="59"/>
      <c r="I36" s="59"/>
    </row>
    <row r="37" spans="1:10" ht="184.5">
      <c r="A37" s="70" t="s">
        <v>140</v>
      </c>
      <c r="B37" s="158">
        <f>'27'!F37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72"/>
      <c r="H37" s="59"/>
      <c r="I37" s="59"/>
    </row>
    <row r="38" spans="1:10" ht="184.5">
      <c r="A38" s="70" t="s">
        <v>141</v>
      </c>
      <c r="B38" s="158">
        <f>'27'!F38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73"/>
      <c r="H38" s="74"/>
      <c r="I38" s="74"/>
    </row>
    <row r="39" spans="1:10" ht="184.5">
      <c r="A39" s="70" t="s">
        <v>142</v>
      </c>
      <c r="B39" s="158">
        <f>'27'!F39</f>
        <v>3</v>
      </c>
      <c r="C39" s="159"/>
      <c r="D39" s="162">
        <f t="shared" si="7"/>
        <v>3</v>
      </c>
      <c r="E39" s="161"/>
      <c r="F39" s="162">
        <f t="shared" si="8"/>
        <v>3</v>
      </c>
      <c r="G39" s="189"/>
      <c r="H39" s="59"/>
      <c r="I39" s="59"/>
    </row>
    <row r="40" spans="1:10" ht="276.75">
      <c r="A40" s="70" t="s">
        <v>143</v>
      </c>
      <c r="B40" s="158">
        <f>'27'!F40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84.5">
      <c r="A41" s="70" t="s">
        <v>144</v>
      </c>
      <c r="B41" s="158">
        <f>'27'!F41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84.5">
      <c r="A42" s="70" t="s">
        <v>145</v>
      </c>
      <c r="B42" s="158">
        <f>'27'!F42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724"/>
      <c r="H42" s="59"/>
      <c r="I42" s="59"/>
    </row>
    <row r="43" spans="1:10" ht="184.5">
      <c r="A43" s="70" t="s">
        <v>86</v>
      </c>
      <c r="B43" s="158">
        <f>'27'!F43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84.5">
      <c r="A44" s="70" t="s">
        <v>146</v>
      </c>
      <c r="B44" s="158">
        <f>'27'!F44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674"/>
      <c r="H44" s="74"/>
      <c r="I44" s="74"/>
    </row>
    <row r="45" spans="1:10" ht="276.75">
      <c r="A45" s="70" t="s">
        <v>147</v>
      </c>
      <c r="B45" s="158">
        <f>'27'!F45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24"/>
      <c r="H45" s="57"/>
      <c r="I45" s="76"/>
    </row>
    <row r="46" spans="1:10" ht="184.5">
      <c r="A46" s="78" t="s">
        <v>148</v>
      </c>
      <c r="B46" s="158">
        <f>'27'!F46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211"/>
      <c r="H46" s="57"/>
      <c r="I46" s="76"/>
    </row>
    <row r="47" spans="1:10" ht="92.25">
      <c r="A47" s="80" t="s">
        <v>92</v>
      </c>
      <c r="B47" s="158">
        <f>'27'!F47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130.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30.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30.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30.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106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" right="0.7" top="0.75" bottom="0.75" header="0.3" footer="0.3"/>
  <pageSetup scale="1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L53"/>
  <sheetViews>
    <sheetView topLeftCell="A43" zoomScale="25" zoomScaleNormal="25" workbookViewId="0">
      <selection activeCell="C31" sqref="C31"/>
    </sheetView>
  </sheetViews>
  <sheetFormatPr defaultColWidth="9" defaultRowHeight="33.75"/>
  <cols>
    <col min="1" max="1" width="100" style="3" customWidth="1"/>
    <col min="2" max="2" width="60" style="3" customWidth="1"/>
    <col min="3" max="3" width="58.28515625" style="3" customWidth="1"/>
    <col min="4" max="4" width="71.5703125" style="3" customWidth="1"/>
    <col min="5" max="5" width="48" style="3" customWidth="1"/>
    <col min="6" max="6" width="70.28515625" style="3" customWidth="1"/>
    <col min="7" max="7" width="57.7109375" style="3" customWidth="1"/>
    <col min="8" max="8" width="72" style="3" customWidth="1"/>
    <col min="9" max="9" width="48" style="3" customWidth="1"/>
    <col min="10" max="10" width="58.28515625" style="3" customWidth="1"/>
    <col min="11" max="12" width="48" style="3" customWidth="1"/>
    <col min="13" max="16384" width="9" style="3"/>
  </cols>
  <sheetData>
    <row r="1" spans="1:12" ht="152.25" customHeight="1">
      <c r="A1" s="935" t="s">
        <v>105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7"/>
    </row>
    <row r="2" spans="1:12" ht="164.25" customHeight="1">
      <c r="A2" s="4" t="s">
        <v>160</v>
      </c>
      <c r="B2" s="5" t="s">
        <v>177</v>
      </c>
      <c r="C2" s="938"/>
      <c r="D2" s="938"/>
      <c r="E2" s="938"/>
      <c r="F2" s="938"/>
      <c r="G2" s="6" t="s">
        <v>107</v>
      </c>
      <c r="H2" s="7" t="s">
        <v>187</v>
      </c>
      <c r="I2" s="949"/>
      <c r="J2" s="949"/>
      <c r="K2" s="949"/>
      <c r="L2" s="950"/>
    </row>
    <row r="3" spans="1:12" ht="152.25" customHeight="1">
      <c r="A3" s="8" t="s">
        <v>108</v>
      </c>
      <c r="B3" s="254" t="s">
        <v>180</v>
      </c>
      <c r="C3" s="9" t="s">
        <v>13</v>
      </c>
      <c r="D3" s="10" t="s">
        <v>14</v>
      </c>
      <c r="E3" s="11" t="s">
        <v>15</v>
      </c>
      <c r="F3" s="12" t="s">
        <v>109</v>
      </c>
      <c r="G3" s="8" t="s">
        <v>110</v>
      </c>
      <c r="H3" s="13"/>
      <c r="I3" s="951"/>
      <c r="J3" s="951"/>
      <c r="K3" s="951"/>
      <c r="L3" s="952"/>
    </row>
    <row r="4" spans="1:12" ht="152.25" customHeight="1">
      <c r="A4" s="939"/>
      <c r="B4" s="940"/>
      <c r="C4" s="14">
        <v>0</v>
      </c>
      <c r="D4" s="14">
        <v>0</v>
      </c>
      <c r="E4" s="14">
        <v>0</v>
      </c>
      <c r="F4" s="14">
        <v>0</v>
      </c>
      <c r="G4" s="15">
        <f>SUM(C4,D4,E4,F4)</f>
        <v>0</v>
      </c>
      <c r="H4" s="13"/>
      <c r="I4" s="953"/>
      <c r="J4" s="953"/>
      <c r="K4" s="953"/>
      <c r="L4" s="954"/>
    </row>
    <row r="5" spans="1:12" ht="272.25" customHeight="1">
      <c r="A5" s="16" t="s">
        <v>111</v>
      </c>
      <c r="B5" s="17" t="s">
        <v>112</v>
      </c>
      <c r="C5" s="17" t="s">
        <v>113</v>
      </c>
      <c r="D5" s="17" t="s">
        <v>114</v>
      </c>
      <c r="E5" s="17" t="s">
        <v>21</v>
      </c>
      <c r="F5" s="17" t="s">
        <v>115</v>
      </c>
      <c r="G5" s="18" t="s">
        <v>116</v>
      </c>
      <c r="H5" s="17" t="s">
        <v>117</v>
      </c>
      <c r="I5" s="17" t="s">
        <v>118</v>
      </c>
      <c r="J5" s="111" t="s">
        <v>119</v>
      </c>
      <c r="K5" s="928" t="s">
        <v>120</v>
      </c>
      <c r="L5" s="929"/>
    </row>
    <row r="6" spans="1:12" ht="152.25" customHeight="1" thickBot="1">
      <c r="A6" s="17" t="s">
        <v>161</v>
      </c>
      <c r="B6" s="132">
        <f>'28'!I6</f>
        <v>316</v>
      </c>
      <c r="C6" s="133"/>
      <c r="D6" s="134">
        <f t="shared" ref="D6:D15" si="0">B6+C6</f>
        <v>316</v>
      </c>
      <c r="E6" s="135"/>
      <c r="F6" s="136"/>
      <c r="G6" s="137">
        <f>'28'!H6</f>
        <v>25474.100000000002</v>
      </c>
      <c r="H6" s="138">
        <f>SUM(G6,F6)</f>
        <v>25474.100000000002</v>
      </c>
      <c r="I6" s="165">
        <f>D6-E6</f>
        <v>316</v>
      </c>
      <c r="J6" s="166" t="e">
        <f t="shared" ref="J6:J27" si="1">E6/F6</f>
        <v>#DIV/0!</v>
      </c>
      <c r="K6" s="967"/>
      <c r="L6" s="917"/>
    </row>
    <row r="7" spans="1:12" ht="152.25" customHeight="1" thickBot="1">
      <c r="A7" s="17" t="s">
        <v>162</v>
      </c>
      <c r="B7" s="132">
        <f>'28'!I7</f>
        <v>80</v>
      </c>
      <c r="C7" s="133"/>
      <c r="D7" s="139">
        <f t="shared" si="0"/>
        <v>80</v>
      </c>
      <c r="E7" s="135"/>
      <c r="F7" s="136"/>
      <c r="G7" s="137">
        <f>'28'!H7</f>
        <v>1535</v>
      </c>
      <c r="H7" s="134">
        <f t="shared" ref="H7:H27" si="2">SUM(G7,F7)</f>
        <v>1535</v>
      </c>
      <c r="I7" s="167">
        <f t="shared" ref="I7:I27" si="3">D7-E7</f>
        <v>80</v>
      </c>
      <c r="J7" s="168" t="e">
        <f t="shared" si="1"/>
        <v>#DIV/0!</v>
      </c>
      <c r="K7" s="972"/>
      <c r="L7" s="973"/>
    </row>
    <row r="8" spans="1:12" ht="152.25" customHeight="1" thickBot="1">
      <c r="A8" s="17" t="s">
        <v>163</v>
      </c>
      <c r="B8" s="132">
        <f>'28'!I8</f>
        <v>123</v>
      </c>
      <c r="C8" s="133"/>
      <c r="D8" s="139">
        <f t="shared" si="0"/>
        <v>123</v>
      </c>
      <c r="E8" s="135"/>
      <c r="F8" s="136"/>
      <c r="G8" s="137">
        <f>'28'!H8</f>
        <v>1501</v>
      </c>
      <c r="H8" s="134">
        <f t="shared" si="2"/>
        <v>1501</v>
      </c>
      <c r="I8" s="167">
        <f t="shared" si="3"/>
        <v>123</v>
      </c>
      <c r="J8" s="168" t="e">
        <f t="shared" si="1"/>
        <v>#DIV/0!</v>
      </c>
      <c r="K8" s="918"/>
      <c r="L8" s="919"/>
    </row>
    <row r="9" spans="1:12" ht="152.25" customHeight="1">
      <c r="A9" s="17" t="s">
        <v>164</v>
      </c>
      <c r="B9" s="132">
        <f>'28'!I9</f>
        <v>95</v>
      </c>
      <c r="C9" s="133"/>
      <c r="D9" s="139">
        <f t="shared" si="0"/>
        <v>95</v>
      </c>
      <c r="E9" s="135"/>
      <c r="F9" s="136"/>
      <c r="G9" s="137">
        <f>'28'!H9</f>
        <v>3370</v>
      </c>
      <c r="H9" s="134">
        <f t="shared" si="2"/>
        <v>3370</v>
      </c>
      <c r="I9" s="167">
        <f t="shared" si="3"/>
        <v>95</v>
      </c>
      <c r="J9" s="168" t="e">
        <f t="shared" si="1"/>
        <v>#DIV/0!</v>
      </c>
      <c r="K9" s="918"/>
      <c r="L9" s="919"/>
    </row>
    <row r="10" spans="1:12" ht="152.25" customHeight="1">
      <c r="A10" s="17" t="s">
        <v>165</v>
      </c>
      <c r="B10" s="132">
        <f>'28'!I10</f>
        <v>26</v>
      </c>
      <c r="C10" s="133"/>
      <c r="D10" s="139">
        <f t="shared" si="0"/>
        <v>26</v>
      </c>
      <c r="E10" s="135"/>
      <c r="F10" s="136"/>
      <c r="G10" s="137">
        <f>'28'!H10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918"/>
      <c r="L10" s="919"/>
    </row>
    <row r="11" spans="1:12" ht="152.25" customHeight="1">
      <c r="A11" s="17" t="s">
        <v>173</v>
      </c>
      <c r="B11" s="132">
        <f>'28'!I11</f>
        <v>0</v>
      </c>
      <c r="C11" s="133"/>
      <c r="D11" s="139">
        <f t="shared" si="0"/>
        <v>0</v>
      </c>
      <c r="E11" s="135"/>
      <c r="F11" s="136"/>
      <c r="G11" s="137">
        <f>'28'!H11</f>
        <v>0</v>
      </c>
      <c r="H11" s="134">
        <f t="shared" si="2"/>
        <v>0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17" t="s">
        <v>5</v>
      </c>
      <c r="B12" s="132">
        <f>'28'!I12</f>
        <v>0</v>
      </c>
      <c r="C12" s="133"/>
      <c r="D12" s="139">
        <f t="shared" si="0"/>
        <v>0</v>
      </c>
      <c r="E12" s="135"/>
      <c r="F12" s="136"/>
      <c r="G12" s="137">
        <f>'28'!H12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918"/>
      <c r="L12" s="919"/>
    </row>
    <row r="13" spans="1:12" ht="152.25" customHeight="1">
      <c r="A13" s="17" t="s">
        <v>167</v>
      </c>
      <c r="B13" s="132">
        <f>'28'!I13</f>
        <v>35</v>
      </c>
      <c r="C13" s="133"/>
      <c r="D13" s="139">
        <f t="shared" si="0"/>
        <v>35</v>
      </c>
      <c r="E13" s="135"/>
      <c r="F13" s="136"/>
      <c r="G13" s="137">
        <f>'28'!H13</f>
        <v>15</v>
      </c>
      <c r="H13" s="134">
        <f t="shared" si="2"/>
        <v>15</v>
      </c>
      <c r="I13" s="167">
        <f t="shared" si="3"/>
        <v>35</v>
      </c>
      <c r="J13" s="168" t="e">
        <f t="shared" si="1"/>
        <v>#DIV/0!</v>
      </c>
      <c r="K13" s="918"/>
      <c r="L13" s="919"/>
    </row>
    <row r="14" spans="1:12" ht="188.25" customHeight="1">
      <c r="A14" s="17" t="s">
        <v>168</v>
      </c>
      <c r="B14" s="132">
        <f>'28'!I14</f>
        <v>0</v>
      </c>
      <c r="C14" s="133"/>
      <c r="D14" s="139">
        <f t="shared" si="0"/>
        <v>0</v>
      </c>
      <c r="E14" s="135"/>
      <c r="F14" s="136"/>
      <c r="G14" s="137">
        <f>'28'!H14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862"/>
      <c r="L14" s="863"/>
    </row>
    <row r="15" spans="1:12" ht="206.25" customHeight="1">
      <c r="A15" s="27" t="s">
        <v>169</v>
      </c>
      <c r="B15" s="132">
        <f>'28'!I15</f>
        <v>0</v>
      </c>
      <c r="C15" s="133"/>
      <c r="D15" s="139">
        <f t="shared" si="0"/>
        <v>0</v>
      </c>
      <c r="E15" s="135"/>
      <c r="F15" s="136"/>
      <c r="G15" s="137">
        <f>'28'!H15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918"/>
      <c r="L15" s="919"/>
    </row>
    <row r="16" spans="1:12" ht="272.25" customHeight="1">
      <c r="A16" s="17" t="s">
        <v>170</v>
      </c>
      <c r="B16" s="132">
        <f>'28'!I16</f>
        <v>0</v>
      </c>
      <c r="C16" s="133"/>
      <c r="D16" s="139">
        <f t="shared" ref="D16:D27" si="4">C16+B16</f>
        <v>0</v>
      </c>
      <c r="E16" s="135"/>
      <c r="F16" s="136"/>
      <c r="G16" s="137">
        <f>'28'!H16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918"/>
      <c r="L16" s="919"/>
    </row>
    <row r="17" spans="1:12" ht="152.25" customHeight="1">
      <c r="A17" s="17" t="s">
        <v>171</v>
      </c>
      <c r="B17" s="132">
        <f>'28'!I17</f>
        <v>0</v>
      </c>
      <c r="C17" s="133"/>
      <c r="D17" s="139">
        <f t="shared" si="4"/>
        <v>0</v>
      </c>
      <c r="E17" s="135"/>
      <c r="F17" s="136"/>
      <c r="G17" s="137">
        <f>'28'!H17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 thickBot="1">
      <c r="A18" s="28" t="s">
        <v>11</v>
      </c>
      <c r="B18" s="132">
        <f>'28'!I18</f>
        <v>0</v>
      </c>
      <c r="C18" s="133"/>
      <c r="D18" s="139">
        <f t="shared" si="4"/>
        <v>0</v>
      </c>
      <c r="E18" s="135"/>
      <c r="F18" s="136"/>
      <c r="G18" s="137">
        <f>'28'!H18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918"/>
      <c r="L18" s="919"/>
    </row>
    <row r="19" spans="1:12" ht="152.25" hidden="1" customHeight="1">
      <c r="A19" s="140"/>
      <c r="B19" s="132">
        <f>'28'!I19</f>
        <v>0</v>
      </c>
      <c r="C19" s="141"/>
      <c r="D19" s="139">
        <f t="shared" si="4"/>
        <v>0</v>
      </c>
      <c r="E19" s="142"/>
      <c r="F19" s="143"/>
      <c r="G19" s="137">
        <f>'28'!H19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918"/>
      <c r="L19" s="919"/>
    </row>
    <row r="20" spans="1:12" ht="152.25" hidden="1" customHeight="1">
      <c r="A20" s="140"/>
      <c r="B20" s="132">
        <f>'28'!I20</f>
        <v>0</v>
      </c>
      <c r="C20" s="141"/>
      <c r="D20" s="139">
        <f t="shared" si="4"/>
        <v>0</v>
      </c>
      <c r="E20" s="142"/>
      <c r="F20" s="143"/>
      <c r="G20" s="137">
        <f>'28'!H20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918"/>
      <c r="L20" s="919"/>
    </row>
    <row r="21" spans="1:12" ht="152.25" hidden="1" customHeight="1">
      <c r="A21" s="140"/>
      <c r="B21" s="132">
        <f>'28'!I21</f>
        <v>0</v>
      </c>
      <c r="C21" s="141"/>
      <c r="D21" s="139">
        <f t="shared" si="4"/>
        <v>0</v>
      </c>
      <c r="E21" s="142"/>
      <c r="F21" s="143"/>
      <c r="G21" s="137">
        <f>'28'!H21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918"/>
      <c r="L21" s="919"/>
    </row>
    <row r="22" spans="1:12" ht="152.25" hidden="1" customHeight="1">
      <c r="A22" s="140"/>
      <c r="B22" s="132">
        <f>'28'!I22</f>
        <v>0</v>
      </c>
      <c r="C22" s="141"/>
      <c r="D22" s="139">
        <f t="shared" si="4"/>
        <v>0</v>
      </c>
      <c r="E22" s="142"/>
      <c r="F22" s="143"/>
      <c r="G22" s="137">
        <f>'28'!H22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918"/>
      <c r="L22" s="919"/>
    </row>
    <row r="23" spans="1:12" ht="152.25" hidden="1" customHeight="1">
      <c r="A23" s="140"/>
      <c r="B23" s="132">
        <f>'28'!I23</f>
        <v>0</v>
      </c>
      <c r="C23" s="144"/>
      <c r="D23" s="139">
        <f t="shared" si="4"/>
        <v>0</v>
      </c>
      <c r="E23" s="145"/>
      <c r="F23" s="146"/>
      <c r="G23" s="137">
        <f>'28'!H23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918"/>
      <c r="L23" s="919"/>
    </row>
    <row r="24" spans="1:12" ht="152.25" hidden="1" customHeight="1">
      <c r="A24" s="140"/>
      <c r="B24" s="132">
        <f>'28'!I24</f>
        <v>0</v>
      </c>
      <c r="C24" s="144"/>
      <c r="D24" s="139">
        <f t="shared" si="4"/>
        <v>0</v>
      </c>
      <c r="E24" s="145"/>
      <c r="F24" s="146"/>
      <c r="G24" s="137">
        <f>'28'!H24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918"/>
      <c r="L24" s="919"/>
    </row>
    <row r="25" spans="1:12" ht="152.25" hidden="1" customHeight="1">
      <c r="A25" s="140"/>
      <c r="B25" s="132">
        <f>'28'!I25</f>
        <v>0</v>
      </c>
      <c r="C25" s="144"/>
      <c r="D25" s="139">
        <f t="shared" si="4"/>
        <v>0</v>
      </c>
      <c r="E25" s="145"/>
      <c r="F25" s="146"/>
      <c r="G25" s="137">
        <f>'28'!H25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918"/>
      <c r="L25" s="919"/>
    </row>
    <row r="26" spans="1:12" ht="152.25" hidden="1" customHeight="1">
      <c r="A26" s="140"/>
      <c r="B26" s="132">
        <f>'28'!I26</f>
        <v>0</v>
      </c>
      <c r="C26" s="147"/>
      <c r="D26" s="148">
        <f t="shared" si="4"/>
        <v>0</v>
      </c>
      <c r="E26" s="149"/>
      <c r="F26" s="150"/>
      <c r="G26" s="137">
        <f>'28'!H26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918"/>
      <c r="L26" s="919"/>
    </row>
    <row r="27" spans="1:12" ht="152.25" hidden="1" customHeight="1">
      <c r="A27" s="151"/>
      <c r="B27" s="132">
        <f>'28'!I27</f>
        <v>0</v>
      </c>
      <c r="C27" s="152"/>
      <c r="D27" s="148">
        <f t="shared" si="4"/>
        <v>0</v>
      </c>
      <c r="E27" s="152"/>
      <c r="F27" s="150"/>
      <c r="G27" s="137">
        <f>'28'!H27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118"/>
      <c r="L27" s="119"/>
    </row>
    <row r="28" spans="1:12" ht="152.25" customHeight="1" thickBot="1">
      <c r="A28" s="40" t="s">
        <v>114</v>
      </c>
      <c r="B28" s="41"/>
      <c r="C28" s="40">
        <f>SUM(C6:C27)</f>
        <v>0</v>
      </c>
      <c r="D28" s="40">
        <f t="shared" ref="D28:F28" si="5">SUM(D6:D27)</f>
        <v>675</v>
      </c>
      <c r="E28" s="40">
        <f t="shared" si="5"/>
        <v>0</v>
      </c>
      <c r="F28" s="40">
        <f t="shared" si="5"/>
        <v>0</v>
      </c>
      <c r="G28" s="883"/>
      <c r="H28" s="884"/>
      <c r="I28" s="40">
        <f t="shared" ref="I28" si="6">SUM(I6:I27)</f>
        <v>675</v>
      </c>
      <c r="J28" s="111"/>
      <c r="K28" s="920"/>
      <c r="L28" s="921"/>
    </row>
    <row r="29" spans="1:12" ht="152.25" customHeight="1" thickBo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42.25" customHeight="1">
      <c r="A30" s="45"/>
      <c r="B30" s="17" t="s">
        <v>126</v>
      </c>
      <c r="C30" s="17" t="s">
        <v>127</v>
      </c>
      <c r="D30" s="17" t="s">
        <v>128</v>
      </c>
      <c r="E30" s="17" t="s">
        <v>129</v>
      </c>
      <c r="F30" s="704" t="s">
        <v>130</v>
      </c>
      <c r="G30" s="17" t="s">
        <v>131</v>
      </c>
      <c r="H30" s="943" t="s">
        <v>120</v>
      </c>
      <c r="I30" s="944"/>
    </row>
    <row r="31" spans="1:12" ht="152.25" customHeight="1">
      <c r="A31" s="17" t="s">
        <v>132</v>
      </c>
      <c r="B31" s="153">
        <f>'28'!G31</f>
        <v>535</v>
      </c>
      <c r="C31" s="154"/>
      <c r="D31" s="17">
        <f>SUM(B31:C31)</f>
        <v>535</v>
      </c>
      <c r="E31" s="155">
        <f>C28</f>
        <v>0</v>
      </c>
      <c r="F31" s="17">
        <f>E28</f>
        <v>0</v>
      </c>
      <c r="G31" s="156">
        <f>D31-E31</f>
        <v>535</v>
      </c>
      <c r="H31" s="900"/>
      <c r="I31" s="901"/>
    </row>
    <row r="32" spans="1:12" ht="152.25" customHeight="1">
      <c r="A32" s="51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131.2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31.25" customHeight="1">
      <c r="A34" s="930" t="s">
        <v>134</v>
      </c>
      <c r="B34" s="931"/>
      <c r="C34" s="931"/>
      <c r="D34" s="931"/>
      <c r="E34" s="931"/>
      <c r="F34" s="931"/>
      <c r="G34" s="932"/>
      <c r="H34" s="59"/>
      <c r="I34" s="59"/>
      <c r="J34" s="84"/>
    </row>
    <row r="35" spans="1:10" ht="209.25" customHeight="1">
      <c r="A35" s="60" t="s">
        <v>135</v>
      </c>
      <c r="B35" s="61" t="s">
        <v>136</v>
      </c>
      <c r="C35" s="62" t="s">
        <v>127</v>
      </c>
      <c r="D35" s="60" t="s">
        <v>137</v>
      </c>
      <c r="E35" s="63" t="s">
        <v>138</v>
      </c>
      <c r="F35" s="16" t="s">
        <v>131</v>
      </c>
      <c r="G35" s="16" t="s">
        <v>42</v>
      </c>
      <c r="H35" s="59"/>
      <c r="I35" s="59"/>
      <c r="J35" s="123"/>
    </row>
    <row r="36" spans="1:10" ht="184.5">
      <c r="A36" s="64" t="s">
        <v>139</v>
      </c>
      <c r="B36" s="158">
        <f>'28'!F36</f>
        <v>57</v>
      </c>
      <c r="C36" s="159"/>
      <c r="D36" s="160">
        <f>SUM(B36:C36)</f>
        <v>57</v>
      </c>
      <c r="E36" s="161"/>
      <c r="F36" s="160">
        <f>D36-E36</f>
        <v>57</v>
      </c>
      <c r="G36" s="295"/>
      <c r="H36" s="59"/>
      <c r="I36" s="59"/>
    </row>
    <row r="37" spans="1:10" ht="184.5">
      <c r="A37" s="70" t="s">
        <v>140</v>
      </c>
      <c r="B37" s="158">
        <f>'28'!F37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72"/>
      <c r="H37" s="59"/>
      <c r="I37" s="59"/>
    </row>
    <row r="38" spans="1:10" ht="184.5">
      <c r="A38" s="70" t="s">
        <v>141</v>
      </c>
      <c r="B38" s="158">
        <f>'28'!F38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207"/>
      <c r="H38" s="74"/>
      <c r="I38" s="74"/>
    </row>
    <row r="39" spans="1:10" ht="184.5">
      <c r="A39" s="70" t="s">
        <v>142</v>
      </c>
      <c r="B39" s="158">
        <f>'28'!F39</f>
        <v>3</v>
      </c>
      <c r="C39" s="159"/>
      <c r="D39" s="162">
        <f t="shared" si="7"/>
        <v>3</v>
      </c>
      <c r="E39" s="161"/>
      <c r="F39" s="162">
        <f t="shared" si="8"/>
        <v>3</v>
      </c>
      <c r="G39" s="190"/>
      <c r="H39" s="59"/>
      <c r="I39" s="59"/>
    </row>
    <row r="40" spans="1:10" ht="276.75">
      <c r="A40" s="70" t="s">
        <v>143</v>
      </c>
      <c r="B40" s="158">
        <f>'28'!F40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84.5">
      <c r="A41" s="70" t="s">
        <v>144</v>
      </c>
      <c r="B41" s="158">
        <f>'28'!F41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84.5">
      <c r="A42" s="70" t="s">
        <v>145</v>
      </c>
      <c r="B42" s="158">
        <f>'28'!F42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72"/>
      <c r="H42" s="59"/>
      <c r="I42" s="59"/>
    </row>
    <row r="43" spans="1:10" ht="184.5">
      <c r="A43" s="70" t="s">
        <v>86</v>
      </c>
      <c r="B43" s="158">
        <f>'28'!F43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75"/>
      <c r="H43" s="76"/>
      <c r="I43" s="59"/>
      <c r="J43" s="124"/>
    </row>
    <row r="44" spans="1:10" ht="184.5">
      <c r="A44" s="70" t="s">
        <v>146</v>
      </c>
      <c r="B44" s="158">
        <f>'28'!F44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73"/>
      <c r="H44" s="74"/>
      <c r="I44" s="74"/>
    </row>
    <row r="45" spans="1:10" ht="276.75">
      <c r="A45" s="70" t="s">
        <v>147</v>
      </c>
      <c r="B45" s="158">
        <f>'28'!F45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84.5">
      <c r="A46" s="78" t="s">
        <v>148</v>
      </c>
      <c r="B46" s="158">
        <f>'28'!F46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660"/>
      <c r="H46" s="57"/>
      <c r="I46" s="76"/>
    </row>
    <row r="47" spans="1:10" ht="92.25">
      <c r="A47" s="80" t="s">
        <v>92</v>
      </c>
      <c r="B47" s="158">
        <f>'28'!F47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164"/>
      <c r="H47" s="57"/>
      <c r="I47" s="59"/>
    </row>
    <row r="48" spans="1:10" ht="131.2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31.2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31.2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31.2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112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" right="0.7" top="0.75" bottom="0.75" header="0.3" footer="0.3"/>
  <pageSetup paperSize="9" scale="1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53"/>
  <sheetViews>
    <sheetView view="pageBreakPreview" topLeftCell="A40" zoomScale="21" zoomScaleNormal="21" zoomScaleSheetLayoutView="21" workbookViewId="0">
      <selection activeCell="C6" sqref="C6:C18"/>
    </sheetView>
  </sheetViews>
  <sheetFormatPr defaultColWidth="9" defaultRowHeight="33.75"/>
  <cols>
    <col min="1" max="1" width="125.42578125" style="3" customWidth="1"/>
    <col min="2" max="2" width="69.140625" style="3" customWidth="1"/>
    <col min="3" max="3" width="61.7109375" style="3" customWidth="1"/>
    <col min="4" max="4" width="57.7109375" style="3" customWidth="1"/>
    <col min="5" max="5" width="48" style="3" customWidth="1"/>
    <col min="6" max="6" width="72" style="3" customWidth="1"/>
    <col min="7" max="7" width="85.85546875" style="3" customWidth="1"/>
    <col min="8" max="8" width="73.42578125" style="3" customWidth="1"/>
    <col min="9" max="9" width="48" style="3" customWidth="1"/>
    <col min="10" max="10" width="60.5703125" style="3" customWidth="1"/>
    <col min="11" max="12" width="48" style="3" customWidth="1"/>
    <col min="13" max="16384" width="9" style="3"/>
  </cols>
  <sheetData>
    <row r="1" spans="1:12" ht="152.25" customHeight="1">
      <c r="A1" s="935" t="s">
        <v>105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7"/>
    </row>
    <row r="2" spans="1:12" ht="164.25" customHeight="1">
      <c r="A2" s="4" t="s">
        <v>160</v>
      </c>
      <c r="B2" s="5" t="s">
        <v>3</v>
      </c>
      <c r="C2" s="938"/>
      <c r="D2" s="938"/>
      <c r="E2" s="938"/>
      <c r="F2" s="938"/>
      <c r="G2" s="6" t="s">
        <v>107</v>
      </c>
      <c r="H2" s="7"/>
      <c r="I2" s="949"/>
      <c r="J2" s="949"/>
      <c r="K2" s="949"/>
      <c r="L2" s="950"/>
    </row>
    <row r="3" spans="1:12" ht="152.25" customHeight="1">
      <c r="A3" s="8" t="s">
        <v>108</v>
      </c>
      <c r="B3" s="254" t="s">
        <v>180</v>
      </c>
      <c r="C3" s="9" t="s">
        <v>13</v>
      </c>
      <c r="D3" s="10" t="s">
        <v>14</v>
      </c>
      <c r="E3" s="11" t="s">
        <v>15</v>
      </c>
      <c r="F3" s="12" t="s">
        <v>109</v>
      </c>
      <c r="G3" s="8" t="s">
        <v>110</v>
      </c>
      <c r="H3" s="13"/>
      <c r="I3" s="951"/>
      <c r="J3" s="951"/>
      <c r="K3" s="951"/>
      <c r="L3" s="952"/>
    </row>
    <row r="4" spans="1:12" ht="152.25" customHeight="1">
      <c r="A4" s="939"/>
      <c r="B4" s="940"/>
      <c r="C4" s="14"/>
      <c r="D4" s="14"/>
      <c r="E4" s="14"/>
      <c r="F4" s="14"/>
      <c r="G4" s="15">
        <f>SUM(C4,D4,E4,F4)</f>
        <v>0</v>
      </c>
      <c r="H4" s="13"/>
      <c r="I4" s="953"/>
      <c r="J4" s="953"/>
      <c r="K4" s="953"/>
      <c r="L4" s="954"/>
    </row>
    <row r="5" spans="1:12" ht="287.25" customHeight="1">
      <c r="A5" s="16" t="s">
        <v>111</v>
      </c>
      <c r="B5" s="17" t="s">
        <v>112</v>
      </c>
      <c r="C5" s="17" t="s">
        <v>113</v>
      </c>
      <c r="D5" s="17" t="s">
        <v>114</v>
      </c>
      <c r="E5" s="17" t="s">
        <v>21</v>
      </c>
      <c r="F5" s="17" t="s">
        <v>115</v>
      </c>
      <c r="G5" s="18" t="s">
        <v>116</v>
      </c>
      <c r="H5" s="17" t="s">
        <v>117</v>
      </c>
      <c r="I5" s="17" t="s">
        <v>118</v>
      </c>
      <c r="J5" s="111" t="s">
        <v>119</v>
      </c>
      <c r="K5" s="928" t="s">
        <v>120</v>
      </c>
      <c r="L5" s="929"/>
    </row>
    <row r="6" spans="1:12" ht="152.25" customHeight="1">
      <c r="A6" s="17" t="s">
        <v>161</v>
      </c>
      <c r="B6" s="132">
        <f>'29'!I6</f>
        <v>316</v>
      </c>
      <c r="C6" s="133"/>
      <c r="D6" s="134">
        <f t="shared" ref="D6:D15" si="0">B6+C6</f>
        <v>316</v>
      </c>
      <c r="E6" s="135"/>
      <c r="F6" s="136"/>
      <c r="G6" s="137">
        <f>'29'!H6</f>
        <v>25474.100000000002</v>
      </c>
      <c r="H6" s="138">
        <f>SUM(G6,F6)</f>
        <v>25474.100000000002</v>
      </c>
      <c r="I6" s="165">
        <f>D6-E6</f>
        <v>316</v>
      </c>
      <c r="J6" s="166" t="e">
        <f t="shared" ref="J6:J27" si="1">E6/F6</f>
        <v>#DIV/0!</v>
      </c>
      <c r="K6" s="961"/>
      <c r="L6" s="962"/>
    </row>
    <row r="7" spans="1:12" ht="222.75" customHeight="1">
      <c r="A7" s="17" t="s">
        <v>162</v>
      </c>
      <c r="B7" s="132">
        <f>'29'!I7</f>
        <v>80</v>
      </c>
      <c r="C7" s="133"/>
      <c r="D7" s="139">
        <f t="shared" si="0"/>
        <v>80</v>
      </c>
      <c r="E7" s="135"/>
      <c r="F7" s="136"/>
      <c r="G7" s="137">
        <f>'29'!H7</f>
        <v>1535</v>
      </c>
      <c r="H7" s="134">
        <f t="shared" ref="H7:H27" si="2">SUM(G7,F7)</f>
        <v>1535</v>
      </c>
      <c r="I7" s="167">
        <f t="shared" ref="I7:I27" si="3">D7-E7</f>
        <v>80</v>
      </c>
      <c r="J7" s="168" t="e">
        <f t="shared" si="1"/>
        <v>#DIV/0!</v>
      </c>
      <c r="K7" s="922"/>
      <c r="L7" s="923"/>
    </row>
    <row r="8" spans="1:12" ht="272.25" customHeight="1">
      <c r="A8" s="17" t="s">
        <v>163</v>
      </c>
      <c r="B8" s="132">
        <f>'29'!I8</f>
        <v>123</v>
      </c>
      <c r="C8" s="133"/>
      <c r="D8" s="139">
        <f t="shared" si="0"/>
        <v>123</v>
      </c>
      <c r="E8" s="135"/>
      <c r="F8" s="136"/>
      <c r="G8" s="137">
        <f>'29'!H8</f>
        <v>1501</v>
      </c>
      <c r="H8" s="134">
        <f t="shared" si="2"/>
        <v>1501</v>
      </c>
      <c r="I8" s="167">
        <f t="shared" si="3"/>
        <v>123</v>
      </c>
      <c r="J8" s="168" t="e">
        <f t="shared" si="1"/>
        <v>#DIV/0!</v>
      </c>
      <c r="K8" s="918"/>
      <c r="L8" s="919"/>
    </row>
    <row r="9" spans="1:12" ht="180" customHeight="1">
      <c r="A9" s="17" t="s">
        <v>164</v>
      </c>
      <c r="B9" s="132">
        <f>'29'!I9</f>
        <v>95</v>
      </c>
      <c r="C9" s="133"/>
      <c r="D9" s="139">
        <f t="shared" si="0"/>
        <v>95</v>
      </c>
      <c r="E9" s="135"/>
      <c r="F9" s="136"/>
      <c r="G9" s="137">
        <f>'29'!H9</f>
        <v>3370</v>
      </c>
      <c r="H9" s="134">
        <f t="shared" si="2"/>
        <v>3370</v>
      </c>
      <c r="I9" s="167">
        <f t="shared" si="3"/>
        <v>95</v>
      </c>
      <c r="J9" s="168" t="e">
        <f t="shared" si="1"/>
        <v>#DIV/0!</v>
      </c>
      <c r="K9" s="918"/>
      <c r="L9" s="919"/>
    </row>
    <row r="10" spans="1:12" ht="179.25" customHeight="1">
      <c r="A10" s="17" t="s">
        <v>165</v>
      </c>
      <c r="B10" s="132">
        <f>'29'!I10</f>
        <v>26</v>
      </c>
      <c r="C10" s="133"/>
      <c r="D10" s="139">
        <f t="shared" si="0"/>
        <v>26</v>
      </c>
      <c r="E10" s="135"/>
      <c r="F10" s="136"/>
      <c r="G10" s="137">
        <f>'29'!H10</f>
        <v>97</v>
      </c>
      <c r="H10" s="134">
        <f t="shared" si="2"/>
        <v>97</v>
      </c>
      <c r="I10" s="167">
        <f t="shared" si="3"/>
        <v>26</v>
      </c>
      <c r="J10" s="168" t="e">
        <f t="shared" si="1"/>
        <v>#DIV/0!</v>
      </c>
      <c r="K10" s="918"/>
      <c r="L10" s="919"/>
    </row>
    <row r="11" spans="1:12" ht="323.25" customHeight="1">
      <c r="A11" s="17" t="s">
        <v>174</v>
      </c>
      <c r="B11" s="132">
        <f>'29'!I11</f>
        <v>0</v>
      </c>
      <c r="C11" s="133"/>
      <c r="D11" s="139">
        <f t="shared" si="0"/>
        <v>0</v>
      </c>
      <c r="E11" s="135"/>
      <c r="F11" s="136"/>
      <c r="G11" s="137">
        <v>21735</v>
      </c>
      <c r="H11" s="134">
        <f t="shared" si="2"/>
        <v>21735</v>
      </c>
      <c r="I11" s="167">
        <f t="shared" si="3"/>
        <v>0</v>
      </c>
      <c r="J11" s="168" t="e">
        <f t="shared" si="1"/>
        <v>#DIV/0!</v>
      </c>
      <c r="K11" s="862"/>
      <c r="L11" s="863"/>
    </row>
    <row r="12" spans="1:12" ht="152.25" customHeight="1">
      <c r="A12" s="17" t="s">
        <v>5</v>
      </c>
      <c r="B12" s="132">
        <f>'29'!I12</f>
        <v>0</v>
      </c>
      <c r="C12" s="133"/>
      <c r="D12" s="139">
        <f t="shared" si="0"/>
        <v>0</v>
      </c>
      <c r="E12" s="135"/>
      <c r="F12" s="136"/>
      <c r="G12" s="137">
        <f>'29'!H12</f>
        <v>0</v>
      </c>
      <c r="H12" s="134">
        <f t="shared" si="2"/>
        <v>0</v>
      </c>
      <c r="I12" s="167">
        <f t="shared" si="3"/>
        <v>0</v>
      </c>
      <c r="J12" s="168" t="e">
        <f t="shared" si="1"/>
        <v>#DIV/0!</v>
      </c>
      <c r="K12" s="918"/>
      <c r="L12" s="919"/>
    </row>
    <row r="13" spans="1:12" ht="176.25" customHeight="1">
      <c r="A13" s="17" t="s">
        <v>167</v>
      </c>
      <c r="B13" s="132">
        <f>'29'!I13</f>
        <v>35</v>
      </c>
      <c r="C13" s="133"/>
      <c r="D13" s="139">
        <f t="shared" si="0"/>
        <v>35</v>
      </c>
      <c r="E13" s="135"/>
      <c r="F13" s="136"/>
      <c r="G13" s="137">
        <f>'29'!H13</f>
        <v>15</v>
      </c>
      <c r="H13" s="134">
        <f t="shared" si="2"/>
        <v>15</v>
      </c>
      <c r="I13" s="167">
        <f t="shared" si="3"/>
        <v>35</v>
      </c>
      <c r="J13" s="168" t="e">
        <f t="shared" si="1"/>
        <v>#DIV/0!</v>
      </c>
      <c r="K13" s="918"/>
      <c r="L13" s="919"/>
    </row>
    <row r="14" spans="1:12" ht="203.25" customHeight="1">
      <c r="A14" s="17" t="s">
        <v>168</v>
      </c>
      <c r="B14" s="132">
        <f>'29'!I14</f>
        <v>0</v>
      </c>
      <c r="C14" s="133"/>
      <c r="D14" s="139">
        <f t="shared" si="0"/>
        <v>0</v>
      </c>
      <c r="E14" s="135"/>
      <c r="F14" s="136"/>
      <c r="G14" s="137">
        <f>'29'!H14</f>
        <v>0</v>
      </c>
      <c r="H14" s="134">
        <f t="shared" si="2"/>
        <v>0</v>
      </c>
      <c r="I14" s="167">
        <f t="shared" si="3"/>
        <v>0</v>
      </c>
      <c r="J14" s="168" t="e">
        <f t="shared" si="1"/>
        <v>#DIV/0!</v>
      </c>
      <c r="K14" s="918"/>
      <c r="L14" s="919"/>
    </row>
    <row r="15" spans="1:12" ht="263.25" customHeight="1">
      <c r="A15" s="17" t="s">
        <v>169</v>
      </c>
      <c r="B15" s="132">
        <f>'29'!I15</f>
        <v>0</v>
      </c>
      <c r="C15" s="133"/>
      <c r="D15" s="139">
        <f t="shared" si="0"/>
        <v>0</v>
      </c>
      <c r="E15" s="135"/>
      <c r="F15" s="136"/>
      <c r="G15" s="137">
        <f>'29'!H15</f>
        <v>0</v>
      </c>
      <c r="H15" s="134">
        <f t="shared" si="2"/>
        <v>0</v>
      </c>
      <c r="I15" s="167">
        <f t="shared" si="3"/>
        <v>0</v>
      </c>
      <c r="J15" s="168" t="e">
        <f t="shared" si="1"/>
        <v>#DIV/0!</v>
      </c>
      <c r="K15" s="918"/>
      <c r="L15" s="919"/>
    </row>
    <row r="16" spans="1:12" ht="248.25" customHeight="1">
      <c r="A16" s="17" t="s">
        <v>170</v>
      </c>
      <c r="B16" s="132">
        <f>'29'!I16</f>
        <v>0</v>
      </c>
      <c r="C16" s="133"/>
      <c r="D16" s="139">
        <f t="shared" ref="D16:D27" si="4">C16+B16</f>
        <v>0</v>
      </c>
      <c r="E16" s="135"/>
      <c r="F16" s="136"/>
      <c r="G16" s="137">
        <f>'29'!H16</f>
        <v>0</v>
      </c>
      <c r="H16" s="134">
        <f t="shared" si="2"/>
        <v>0</v>
      </c>
      <c r="I16" s="167">
        <f t="shared" si="3"/>
        <v>0</v>
      </c>
      <c r="J16" s="168" t="e">
        <f t="shared" si="1"/>
        <v>#DIV/0!</v>
      </c>
      <c r="K16" s="918"/>
      <c r="L16" s="919"/>
    </row>
    <row r="17" spans="1:12" ht="170.25" customHeight="1">
      <c r="A17" s="17" t="s">
        <v>171</v>
      </c>
      <c r="B17" s="132">
        <f>'29'!I17</f>
        <v>0</v>
      </c>
      <c r="C17" s="133"/>
      <c r="D17" s="139">
        <f t="shared" si="4"/>
        <v>0</v>
      </c>
      <c r="E17" s="135"/>
      <c r="F17" s="136"/>
      <c r="G17" s="137">
        <f>'29'!H17</f>
        <v>0</v>
      </c>
      <c r="H17" s="134">
        <f t="shared" si="2"/>
        <v>0</v>
      </c>
      <c r="I17" s="167">
        <f t="shared" si="3"/>
        <v>0</v>
      </c>
      <c r="J17" s="168" t="e">
        <f t="shared" si="1"/>
        <v>#DIV/0!</v>
      </c>
      <c r="K17" s="862"/>
      <c r="L17" s="863"/>
    </row>
    <row r="18" spans="1:12" ht="152.25" customHeight="1">
      <c r="A18" s="28" t="s">
        <v>11</v>
      </c>
      <c r="B18" s="132">
        <f>'29'!I18</f>
        <v>0</v>
      </c>
      <c r="C18" s="133"/>
      <c r="D18" s="139">
        <f t="shared" si="4"/>
        <v>0</v>
      </c>
      <c r="E18" s="135"/>
      <c r="F18" s="136"/>
      <c r="G18" s="137">
        <f>'29'!H18</f>
        <v>0</v>
      </c>
      <c r="H18" s="134">
        <f t="shared" si="2"/>
        <v>0</v>
      </c>
      <c r="I18" s="167">
        <f t="shared" si="3"/>
        <v>0</v>
      </c>
      <c r="J18" s="168" t="e">
        <f t="shared" si="1"/>
        <v>#DIV/0!</v>
      </c>
      <c r="K18" s="918"/>
      <c r="L18" s="919"/>
    </row>
    <row r="19" spans="1:12" ht="152.25" hidden="1" customHeight="1">
      <c r="A19" s="140"/>
      <c r="B19" s="132">
        <f>'29'!I19</f>
        <v>0</v>
      </c>
      <c r="C19" s="141"/>
      <c r="D19" s="139">
        <f t="shared" si="4"/>
        <v>0</v>
      </c>
      <c r="E19" s="142"/>
      <c r="F19" s="143"/>
      <c r="G19" s="137">
        <f>'29'!H19</f>
        <v>0</v>
      </c>
      <c r="H19" s="134">
        <f t="shared" si="2"/>
        <v>0</v>
      </c>
      <c r="I19" s="167">
        <f t="shared" si="3"/>
        <v>0</v>
      </c>
      <c r="J19" s="168" t="e">
        <f t="shared" si="1"/>
        <v>#DIV/0!</v>
      </c>
      <c r="K19" s="918"/>
      <c r="L19" s="919"/>
    </row>
    <row r="20" spans="1:12" ht="152.25" hidden="1" customHeight="1">
      <c r="A20" s="140"/>
      <c r="B20" s="132">
        <f>'29'!I20</f>
        <v>0</v>
      </c>
      <c r="C20" s="141"/>
      <c r="D20" s="139">
        <f t="shared" si="4"/>
        <v>0</v>
      </c>
      <c r="E20" s="142"/>
      <c r="F20" s="143"/>
      <c r="G20" s="137">
        <f>'29'!H20</f>
        <v>0</v>
      </c>
      <c r="H20" s="134">
        <f t="shared" si="2"/>
        <v>0</v>
      </c>
      <c r="I20" s="167">
        <f t="shared" si="3"/>
        <v>0</v>
      </c>
      <c r="J20" s="168" t="e">
        <f t="shared" si="1"/>
        <v>#DIV/0!</v>
      </c>
      <c r="K20" s="918"/>
      <c r="L20" s="919"/>
    </row>
    <row r="21" spans="1:12" ht="152.25" hidden="1" customHeight="1">
      <c r="A21" s="140"/>
      <c r="B21" s="132">
        <f>'29'!I21</f>
        <v>0</v>
      </c>
      <c r="C21" s="141"/>
      <c r="D21" s="139">
        <f t="shared" si="4"/>
        <v>0</v>
      </c>
      <c r="E21" s="142"/>
      <c r="F21" s="143"/>
      <c r="G21" s="137">
        <f>'29'!H21</f>
        <v>0</v>
      </c>
      <c r="H21" s="134">
        <f t="shared" si="2"/>
        <v>0</v>
      </c>
      <c r="I21" s="167">
        <f t="shared" si="3"/>
        <v>0</v>
      </c>
      <c r="J21" s="168" t="e">
        <f t="shared" si="1"/>
        <v>#DIV/0!</v>
      </c>
      <c r="K21" s="918"/>
      <c r="L21" s="919"/>
    </row>
    <row r="22" spans="1:12" ht="152.25" hidden="1" customHeight="1">
      <c r="A22" s="140"/>
      <c r="B22" s="132">
        <f>'29'!I22</f>
        <v>0</v>
      </c>
      <c r="C22" s="141"/>
      <c r="D22" s="139">
        <f t="shared" si="4"/>
        <v>0</v>
      </c>
      <c r="E22" s="142"/>
      <c r="F22" s="143"/>
      <c r="G22" s="137">
        <f>'29'!H22</f>
        <v>0</v>
      </c>
      <c r="H22" s="134">
        <f t="shared" si="2"/>
        <v>0</v>
      </c>
      <c r="I22" s="167">
        <f t="shared" si="3"/>
        <v>0</v>
      </c>
      <c r="J22" s="168" t="e">
        <f t="shared" si="1"/>
        <v>#DIV/0!</v>
      </c>
      <c r="K22" s="918"/>
      <c r="L22" s="919"/>
    </row>
    <row r="23" spans="1:12" ht="152.25" hidden="1" customHeight="1">
      <c r="A23" s="140"/>
      <c r="B23" s="132">
        <f>'29'!I23</f>
        <v>0</v>
      </c>
      <c r="C23" s="144"/>
      <c r="D23" s="139">
        <f t="shared" si="4"/>
        <v>0</v>
      </c>
      <c r="E23" s="145"/>
      <c r="F23" s="146"/>
      <c r="G23" s="137">
        <f>'29'!H23</f>
        <v>0</v>
      </c>
      <c r="H23" s="134">
        <f t="shared" si="2"/>
        <v>0</v>
      </c>
      <c r="I23" s="167">
        <f t="shared" si="3"/>
        <v>0</v>
      </c>
      <c r="J23" s="168" t="e">
        <f t="shared" si="1"/>
        <v>#DIV/0!</v>
      </c>
      <c r="K23" s="918"/>
      <c r="L23" s="919"/>
    </row>
    <row r="24" spans="1:12" ht="152.25" hidden="1" customHeight="1">
      <c r="A24" s="140"/>
      <c r="B24" s="132">
        <f>'29'!I24</f>
        <v>0</v>
      </c>
      <c r="C24" s="144"/>
      <c r="D24" s="139">
        <f t="shared" si="4"/>
        <v>0</v>
      </c>
      <c r="E24" s="145"/>
      <c r="F24" s="146"/>
      <c r="G24" s="137">
        <f>'29'!H24</f>
        <v>0</v>
      </c>
      <c r="H24" s="134">
        <f t="shared" si="2"/>
        <v>0</v>
      </c>
      <c r="I24" s="167">
        <f t="shared" si="3"/>
        <v>0</v>
      </c>
      <c r="J24" s="168" t="e">
        <f t="shared" si="1"/>
        <v>#DIV/0!</v>
      </c>
      <c r="K24" s="918"/>
      <c r="L24" s="919"/>
    </row>
    <row r="25" spans="1:12" ht="152.25" hidden="1" customHeight="1">
      <c r="A25" s="140"/>
      <c r="B25" s="132">
        <f>'29'!I25</f>
        <v>0</v>
      </c>
      <c r="C25" s="144"/>
      <c r="D25" s="139">
        <f t="shared" si="4"/>
        <v>0</v>
      </c>
      <c r="E25" s="145"/>
      <c r="F25" s="146"/>
      <c r="G25" s="137">
        <f>'29'!H25</f>
        <v>0</v>
      </c>
      <c r="H25" s="134">
        <f t="shared" si="2"/>
        <v>0</v>
      </c>
      <c r="I25" s="167">
        <f t="shared" si="3"/>
        <v>0</v>
      </c>
      <c r="J25" s="168" t="e">
        <f t="shared" si="1"/>
        <v>#DIV/0!</v>
      </c>
      <c r="K25" s="918"/>
      <c r="L25" s="919"/>
    </row>
    <row r="26" spans="1:12" ht="152.25" hidden="1" customHeight="1">
      <c r="A26" s="140"/>
      <c r="B26" s="132">
        <f>'29'!I26</f>
        <v>0</v>
      </c>
      <c r="C26" s="147"/>
      <c r="D26" s="148">
        <f t="shared" si="4"/>
        <v>0</v>
      </c>
      <c r="E26" s="149"/>
      <c r="F26" s="150"/>
      <c r="G26" s="137">
        <f>'29'!H26</f>
        <v>0</v>
      </c>
      <c r="H26" s="16">
        <f t="shared" si="2"/>
        <v>0</v>
      </c>
      <c r="I26" s="169">
        <f t="shared" si="3"/>
        <v>0</v>
      </c>
      <c r="J26" s="170" t="e">
        <f t="shared" si="1"/>
        <v>#DIV/0!</v>
      </c>
      <c r="K26" s="918"/>
      <c r="L26" s="919"/>
    </row>
    <row r="27" spans="1:12" ht="152.25" hidden="1" customHeight="1">
      <c r="A27" s="151"/>
      <c r="B27" s="132">
        <f>'29'!I27</f>
        <v>0</v>
      </c>
      <c r="C27" s="152"/>
      <c r="D27" s="148">
        <f t="shared" si="4"/>
        <v>0</v>
      </c>
      <c r="E27" s="152"/>
      <c r="F27" s="150"/>
      <c r="G27" s="137">
        <f>'29'!H27</f>
        <v>0</v>
      </c>
      <c r="H27" s="16">
        <f t="shared" si="2"/>
        <v>0</v>
      </c>
      <c r="I27" s="169">
        <f t="shared" si="3"/>
        <v>0</v>
      </c>
      <c r="J27" s="17" t="e">
        <f t="shared" si="1"/>
        <v>#DIV/0!</v>
      </c>
      <c r="K27" s="118"/>
      <c r="L27" s="119"/>
    </row>
    <row r="28" spans="1:12" ht="152.25" customHeight="1">
      <c r="A28" s="40" t="s">
        <v>114</v>
      </c>
      <c r="B28" s="41"/>
      <c r="C28" s="40">
        <f>SUM(C6:C27)</f>
        <v>0</v>
      </c>
      <c r="D28" s="40">
        <f t="shared" ref="D28:F28" si="5">SUM(D6:D27)</f>
        <v>675</v>
      </c>
      <c r="E28" s="40">
        <f t="shared" si="5"/>
        <v>0</v>
      </c>
      <c r="F28" s="40">
        <f t="shared" si="5"/>
        <v>0</v>
      </c>
      <c r="G28" s="883"/>
      <c r="H28" s="884"/>
      <c r="I28" s="40">
        <f t="shared" ref="I28" si="6">SUM(I6:I27)</f>
        <v>675</v>
      </c>
      <c r="J28" s="111"/>
      <c r="K28" s="920"/>
      <c r="L28" s="921"/>
    </row>
    <row r="29" spans="1:12" ht="152.25" customHeight="1">
      <c r="A29" s="43"/>
      <c r="B29" s="44"/>
      <c r="C29" s="44"/>
      <c r="D29" s="44"/>
      <c r="E29" s="44"/>
      <c r="F29" s="44"/>
      <c r="G29" s="44"/>
      <c r="H29" s="44"/>
      <c r="I29" s="44"/>
      <c r="J29" s="120"/>
    </row>
    <row r="30" spans="1:12" ht="281.25" customHeight="1">
      <c r="A30" s="45"/>
      <c r="B30" s="17" t="s">
        <v>126</v>
      </c>
      <c r="C30" s="17" t="s">
        <v>127</v>
      </c>
      <c r="D30" s="17" t="s">
        <v>128</v>
      </c>
      <c r="E30" s="17" t="s">
        <v>129</v>
      </c>
      <c r="F30" s="17" t="s">
        <v>130</v>
      </c>
      <c r="G30" s="17" t="s">
        <v>131</v>
      </c>
      <c r="H30" s="943" t="s">
        <v>120</v>
      </c>
      <c r="I30" s="944"/>
    </row>
    <row r="31" spans="1:12" ht="152.25" customHeight="1">
      <c r="A31" s="17" t="s">
        <v>132</v>
      </c>
      <c r="B31" s="153">
        <f>'29'!G31</f>
        <v>535</v>
      </c>
      <c r="C31" s="154">
        <v>0</v>
      </c>
      <c r="D31" s="17">
        <f>SUM(B31:C31)</f>
        <v>535</v>
      </c>
      <c r="E31" s="155">
        <f>C28</f>
        <v>0</v>
      </c>
      <c r="F31" s="17">
        <f>E28</f>
        <v>0</v>
      </c>
      <c r="G31" s="156">
        <f>D31-E31</f>
        <v>535</v>
      </c>
      <c r="H31" s="945"/>
      <c r="I31" s="946"/>
    </row>
    <row r="32" spans="1:12" ht="152.25" customHeight="1">
      <c r="A32" s="51" t="s">
        <v>133</v>
      </c>
      <c r="B32" s="52">
        <v>0</v>
      </c>
      <c r="C32" s="154">
        <v>0</v>
      </c>
      <c r="D32" s="17">
        <f>SUM(B32,C32)</f>
        <v>0</v>
      </c>
      <c r="E32" s="157">
        <v>0</v>
      </c>
      <c r="F32" s="29">
        <v>0</v>
      </c>
      <c r="G32" s="156">
        <f>D32-F32</f>
        <v>0</v>
      </c>
      <c r="H32" s="902"/>
      <c r="I32" s="903"/>
      <c r="J32" s="121"/>
    </row>
    <row r="33" spans="1:10" s="1" customFormat="1" ht="152.25" customHeight="1">
      <c r="A33" s="55"/>
      <c r="B33" s="44"/>
      <c r="C33" s="56"/>
      <c r="D33" s="56"/>
      <c r="E33" s="56"/>
      <c r="F33" s="44"/>
      <c r="G33" s="57"/>
      <c r="H33" s="58"/>
      <c r="I33" s="58"/>
      <c r="J33" s="122"/>
    </row>
    <row r="34" spans="1:10" ht="152.25" customHeight="1">
      <c r="A34" s="930" t="s">
        <v>134</v>
      </c>
      <c r="B34" s="931"/>
      <c r="C34" s="931"/>
      <c r="D34" s="931"/>
      <c r="E34" s="931"/>
      <c r="F34" s="931"/>
      <c r="G34" s="932"/>
      <c r="H34" s="59"/>
      <c r="I34" s="59"/>
      <c r="J34" s="84"/>
    </row>
    <row r="35" spans="1:10" ht="236.25" customHeight="1">
      <c r="A35" s="60" t="s">
        <v>135</v>
      </c>
      <c r="B35" s="61" t="s">
        <v>136</v>
      </c>
      <c r="C35" s="62" t="s">
        <v>127</v>
      </c>
      <c r="D35" s="60" t="s">
        <v>137</v>
      </c>
      <c r="E35" s="63" t="s">
        <v>138</v>
      </c>
      <c r="F35" s="16" t="s">
        <v>131</v>
      </c>
      <c r="G35" s="16" t="s">
        <v>42</v>
      </c>
      <c r="H35" s="59"/>
      <c r="I35" s="59"/>
      <c r="J35" s="123"/>
    </row>
    <row r="36" spans="1:10" ht="284.25" customHeight="1">
      <c r="A36" s="64" t="s">
        <v>139</v>
      </c>
      <c r="B36" s="158">
        <f>'29'!F36</f>
        <v>57</v>
      </c>
      <c r="C36" s="159"/>
      <c r="D36" s="160">
        <f>SUM(B36:C36)</f>
        <v>57</v>
      </c>
      <c r="E36" s="161"/>
      <c r="F36" s="160">
        <f>D36-E36</f>
        <v>57</v>
      </c>
      <c r="G36" s="69"/>
      <c r="H36" s="59"/>
      <c r="I36" s="59"/>
    </row>
    <row r="37" spans="1:10" ht="92.25">
      <c r="A37" s="70" t="s">
        <v>140</v>
      </c>
      <c r="B37" s="158">
        <f>'29'!F37</f>
        <v>225</v>
      </c>
      <c r="C37" s="159"/>
      <c r="D37" s="162">
        <f t="shared" ref="D37:D47" si="7">SUM(B37:C37)</f>
        <v>225</v>
      </c>
      <c r="E37" s="161"/>
      <c r="F37" s="162">
        <f t="shared" ref="F37:F47" si="8">D37-E37</f>
        <v>225</v>
      </c>
      <c r="G37" s="72"/>
      <c r="H37" s="59"/>
      <c r="I37" s="59"/>
    </row>
    <row r="38" spans="1:10" ht="152.25" customHeight="1">
      <c r="A38" s="70" t="s">
        <v>141</v>
      </c>
      <c r="B38" s="158">
        <f>'29'!F38</f>
        <v>245</v>
      </c>
      <c r="C38" s="159"/>
      <c r="D38" s="162">
        <f t="shared" si="7"/>
        <v>245</v>
      </c>
      <c r="E38" s="161"/>
      <c r="F38" s="162">
        <f t="shared" si="8"/>
        <v>245</v>
      </c>
      <c r="G38" s="73"/>
      <c r="H38" s="74"/>
      <c r="I38" s="74"/>
    </row>
    <row r="39" spans="1:10" ht="152.25" customHeight="1">
      <c r="A39" s="70" t="s">
        <v>142</v>
      </c>
      <c r="B39" s="158">
        <f>'29'!F39</f>
        <v>3</v>
      </c>
      <c r="C39" s="159"/>
      <c r="D39" s="162">
        <f t="shared" si="7"/>
        <v>3</v>
      </c>
      <c r="E39" s="161"/>
      <c r="F39" s="162">
        <f t="shared" si="8"/>
        <v>3</v>
      </c>
      <c r="G39" s="72"/>
      <c r="H39" s="59"/>
      <c r="I39" s="59"/>
    </row>
    <row r="40" spans="1:10" ht="152.25" customHeight="1">
      <c r="A40" s="70" t="s">
        <v>143</v>
      </c>
      <c r="B40" s="158">
        <f>'29'!F40</f>
        <v>0</v>
      </c>
      <c r="C40" s="159"/>
      <c r="D40" s="162">
        <f t="shared" si="7"/>
        <v>0</v>
      </c>
      <c r="E40" s="161"/>
      <c r="F40" s="162">
        <f t="shared" si="8"/>
        <v>0</v>
      </c>
      <c r="G40" s="72"/>
      <c r="H40" s="59"/>
      <c r="I40" s="59"/>
    </row>
    <row r="41" spans="1:10" ht="152.25" customHeight="1">
      <c r="A41" s="70" t="s">
        <v>144</v>
      </c>
      <c r="B41" s="158">
        <f>'29'!F41</f>
        <v>0</v>
      </c>
      <c r="C41" s="159"/>
      <c r="D41" s="162">
        <f t="shared" si="7"/>
        <v>0</v>
      </c>
      <c r="E41" s="161"/>
      <c r="F41" s="162">
        <f t="shared" si="8"/>
        <v>0</v>
      </c>
      <c r="G41" s="72"/>
      <c r="H41" s="59"/>
      <c r="I41" s="59"/>
    </row>
    <row r="42" spans="1:10" ht="152.25" customHeight="1">
      <c r="A42" s="70" t="s">
        <v>145</v>
      </c>
      <c r="B42" s="158">
        <f>'29'!F42</f>
        <v>0</v>
      </c>
      <c r="C42" s="159"/>
      <c r="D42" s="162">
        <f t="shared" si="7"/>
        <v>0</v>
      </c>
      <c r="E42" s="161"/>
      <c r="F42" s="162">
        <f t="shared" si="8"/>
        <v>0</v>
      </c>
      <c r="G42" s="72"/>
      <c r="H42" s="59"/>
      <c r="I42" s="59"/>
    </row>
    <row r="43" spans="1:10" ht="184.5">
      <c r="A43" s="70" t="s">
        <v>86</v>
      </c>
      <c r="B43" s="158">
        <f>'29'!F43</f>
        <v>0</v>
      </c>
      <c r="C43" s="159"/>
      <c r="D43" s="162">
        <f t="shared" si="7"/>
        <v>0</v>
      </c>
      <c r="E43" s="161"/>
      <c r="F43" s="162">
        <f t="shared" si="8"/>
        <v>0</v>
      </c>
      <c r="G43" s="208"/>
      <c r="H43" s="76"/>
      <c r="I43" s="59"/>
      <c r="J43" s="124"/>
    </row>
    <row r="44" spans="1:10" ht="152.25" customHeight="1">
      <c r="A44" s="70" t="s">
        <v>146</v>
      </c>
      <c r="B44" s="158">
        <f>'29'!F44</f>
        <v>10</v>
      </c>
      <c r="C44" s="159"/>
      <c r="D44" s="162">
        <f t="shared" si="7"/>
        <v>10</v>
      </c>
      <c r="E44" s="161"/>
      <c r="F44" s="162">
        <f t="shared" si="8"/>
        <v>10</v>
      </c>
      <c r="G44" s="73"/>
      <c r="H44" s="74"/>
      <c r="I44" s="74"/>
    </row>
    <row r="45" spans="1:10" ht="152.25" customHeight="1">
      <c r="A45" s="70" t="s">
        <v>147</v>
      </c>
      <c r="B45" s="158">
        <f>'29'!F45</f>
        <v>0</v>
      </c>
      <c r="C45" s="159"/>
      <c r="D45" s="162">
        <f t="shared" si="7"/>
        <v>0</v>
      </c>
      <c r="E45" s="161"/>
      <c r="F45" s="162">
        <f t="shared" si="8"/>
        <v>0</v>
      </c>
      <c r="G45" s="77"/>
      <c r="H45" s="57"/>
      <c r="I45" s="76"/>
    </row>
    <row r="46" spans="1:10" ht="152.25" customHeight="1">
      <c r="A46" s="78" t="s">
        <v>148</v>
      </c>
      <c r="B46" s="158">
        <f>'29'!F46</f>
        <v>0</v>
      </c>
      <c r="C46" s="159"/>
      <c r="D46" s="162">
        <f t="shared" si="7"/>
        <v>0</v>
      </c>
      <c r="E46" s="161"/>
      <c r="F46" s="162">
        <f t="shared" si="8"/>
        <v>0</v>
      </c>
      <c r="G46" s="79"/>
      <c r="H46" s="57"/>
      <c r="I46" s="76"/>
    </row>
    <row r="47" spans="1:10" ht="152.25" customHeight="1">
      <c r="A47" s="80" t="s">
        <v>92</v>
      </c>
      <c r="B47" s="158">
        <f>'29'!F47</f>
        <v>0</v>
      </c>
      <c r="C47" s="159"/>
      <c r="D47" s="163">
        <f t="shared" si="7"/>
        <v>0</v>
      </c>
      <c r="E47" s="161"/>
      <c r="F47" s="163">
        <f t="shared" si="8"/>
        <v>0</v>
      </c>
      <c r="G47" s="82"/>
      <c r="H47" s="57"/>
      <c r="I47" s="59"/>
    </row>
    <row r="48" spans="1:10" ht="110.25" customHeight="1">
      <c r="A48" s="83"/>
      <c r="B48" s="84"/>
      <c r="C48" s="84"/>
      <c r="D48" s="84"/>
      <c r="E48" s="84"/>
      <c r="F48" s="85"/>
      <c r="G48" s="86"/>
      <c r="H48" s="57"/>
      <c r="I48" s="110"/>
      <c r="J48" s="57"/>
    </row>
    <row r="49" spans="1:11" ht="110.25" customHeight="1">
      <c r="A49" s="87" t="s">
        <v>149</v>
      </c>
      <c r="B49" s="88" t="s">
        <v>150</v>
      </c>
      <c r="C49" s="89" t="s">
        <v>151</v>
      </c>
      <c r="D49" s="89" t="s">
        <v>152</v>
      </c>
      <c r="E49" s="90" t="s">
        <v>153</v>
      </c>
      <c r="F49" s="89" t="s">
        <v>154</v>
      </c>
      <c r="G49" s="91" t="s">
        <v>155</v>
      </c>
      <c r="H49" s="89" t="s">
        <v>156</v>
      </c>
      <c r="I49" s="88" t="s">
        <v>42</v>
      </c>
      <c r="J49" s="56"/>
      <c r="K49" s="1"/>
    </row>
    <row r="50" spans="1:11" s="2" customFormat="1" ht="110.25" customHeight="1">
      <c r="A50" s="92" t="s">
        <v>157</v>
      </c>
      <c r="B50" s="93">
        <v>0</v>
      </c>
      <c r="C50" s="94">
        <v>0</v>
      </c>
      <c r="D50" s="94">
        <v>0</v>
      </c>
      <c r="E50" s="94">
        <v>0</v>
      </c>
      <c r="F50" s="95">
        <v>0</v>
      </c>
      <c r="G50" s="96">
        <v>0</v>
      </c>
      <c r="H50" s="97">
        <v>0</v>
      </c>
      <c r="I50" s="125"/>
      <c r="J50" s="126"/>
      <c r="K50" s="127"/>
    </row>
    <row r="51" spans="1:11" s="2" customFormat="1" ht="110.25" customHeight="1">
      <c r="A51" s="98" t="s">
        <v>158</v>
      </c>
      <c r="B51" s="99">
        <v>0</v>
      </c>
      <c r="C51" s="100">
        <v>0</v>
      </c>
      <c r="D51" s="100">
        <v>0</v>
      </c>
      <c r="E51" s="100">
        <v>0</v>
      </c>
      <c r="F51" s="101">
        <v>0</v>
      </c>
      <c r="G51" s="102">
        <v>0</v>
      </c>
      <c r="H51" s="103">
        <v>0</v>
      </c>
      <c r="I51" s="128"/>
      <c r="J51" s="126"/>
      <c r="K51" s="127"/>
    </row>
    <row r="52" spans="1:11" s="2" customFormat="1" ht="94.5" customHeight="1">
      <c r="A52" s="104" t="s">
        <v>159</v>
      </c>
      <c r="B52" s="105">
        <v>0</v>
      </c>
      <c r="C52" s="106">
        <v>0</v>
      </c>
      <c r="D52" s="106">
        <v>0</v>
      </c>
      <c r="E52" s="106">
        <v>0</v>
      </c>
      <c r="F52" s="107">
        <v>0</v>
      </c>
      <c r="G52" s="108">
        <v>0</v>
      </c>
      <c r="H52" s="109">
        <v>0</v>
      </c>
      <c r="I52" s="129"/>
      <c r="J52" s="130"/>
      <c r="K52" s="127"/>
    </row>
    <row r="53" spans="1:11">
      <c r="C53" s="110"/>
      <c r="D53" s="110"/>
      <c r="E53" s="110"/>
      <c r="F53" s="84"/>
      <c r="G53" s="84"/>
      <c r="H53" s="84"/>
      <c r="I53" s="110"/>
      <c r="J53" s="131"/>
      <c r="K53" s="1"/>
    </row>
  </sheetData>
  <sheetProtection sheet="1" objects="1" scenarios="1" formatCells="0" formatColumns="0" formatRows="0" insertColumns="0" insertRows="0"/>
  <mergeCells count="32">
    <mergeCell ref="A34:G34"/>
    <mergeCell ref="I2:L4"/>
    <mergeCell ref="G28:H28"/>
    <mergeCell ref="K28:L28"/>
    <mergeCell ref="H30:I30"/>
    <mergeCell ref="H31:I31"/>
    <mergeCell ref="H32:I32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L1"/>
    <mergeCell ref="C2:F2"/>
    <mergeCell ref="A4:B4"/>
    <mergeCell ref="K5:L5"/>
    <mergeCell ref="K6:L6"/>
  </mergeCells>
  <pageMargins left="0.70866141732283505" right="0.70866141732283505" top="0.74803149606299202" bottom="0.74803149606299202" header="0.31496062992126" footer="0.31496062992126"/>
  <pageSetup paperSize="9" scale="1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L52"/>
  <sheetViews>
    <sheetView topLeftCell="A5" zoomScale="25" zoomScaleNormal="25" workbookViewId="0">
      <selection activeCell="G8" sqref="G8"/>
    </sheetView>
  </sheetViews>
  <sheetFormatPr defaultColWidth="9" defaultRowHeight="33.75"/>
  <cols>
    <col min="1" max="1" width="119.140625" style="3" customWidth="1"/>
    <col min="2" max="2" width="71.42578125" style="3" customWidth="1"/>
    <col min="3" max="3" width="58.28515625" style="3" customWidth="1"/>
    <col min="4" max="4" width="53.140625" style="3" customWidth="1"/>
    <col min="5" max="5" width="48" style="3" customWidth="1"/>
    <col min="6" max="6" width="60.7109375" style="3" customWidth="1"/>
    <col min="7" max="7" width="65.28515625" style="3" customWidth="1"/>
    <col min="8" max="8" width="73.140625" style="3" customWidth="1"/>
    <col min="9" max="9" width="48" style="3" customWidth="1"/>
    <col min="10" max="10" width="81.140625" style="3" customWidth="1"/>
    <col min="11" max="11" width="45.7109375" style="3" customWidth="1"/>
    <col min="12" max="12" width="15.42578125" style="3" customWidth="1"/>
    <col min="13" max="16384" width="9" style="3"/>
  </cols>
  <sheetData>
    <row r="1" spans="1:12" ht="152.25" customHeight="1">
      <c r="A1" s="935" t="s">
        <v>105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7"/>
    </row>
    <row r="2" spans="1:12" ht="164.25" customHeight="1">
      <c r="A2" s="4" t="s">
        <v>160</v>
      </c>
      <c r="B2" s="5" t="s">
        <v>3</v>
      </c>
      <c r="C2" s="976"/>
      <c r="D2" s="976"/>
      <c r="E2" s="976"/>
      <c r="F2" s="976"/>
      <c r="G2" s="6" t="s">
        <v>107</v>
      </c>
      <c r="H2" s="7"/>
      <c r="I2" s="949"/>
      <c r="J2" s="949"/>
      <c r="K2" s="949"/>
      <c r="L2" s="950"/>
    </row>
    <row r="3" spans="1:12" ht="152.25" customHeight="1">
      <c r="A3" s="8" t="s">
        <v>108</v>
      </c>
      <c r="B3" s="254" t="s">
        <v>180</v>
      </c>
      <c r="C3" s="9" t="s">
        <v>13</v>
      </c>
      <c r="D3" s="10" t="s">
        <v>14</v>
      </c>
      <c r="E3" s="11" t="s">
        <v>15</v>
      </c>
      <c r="F3" s="12" t="s">
        <v>109</v>
      </c>
      <c r="G3" s="8" t="s">
        <v>110</v>
      </c>
      <c r="H3" s="13"/>
      <c r="I3" s="951"/>
      <c r="J3" s="951"/>
      <c r="K3" s="951"/>
      <c r="L3" s="952"/>
    </row>
    <row r="4" spans="1:12" ht="152.25" customHeight="1">
      <c r="A4" s="977"/>
      <c r="B4" s="978"/>
      <c r="C4" s="14"/>
      <c r="D4" s="14"/>
      <c r="E4" s="14"/>
      <c r="F4" s="14"/>
      <c r="G4" s="15">
        <f>SUM(C4,D4,E4,F4)</f>
        <v>0</v>
      </c>
      <c r="H4" s="13"/>
      <c r="I4" s="953"/>
      <c r="J4" s="953"/>
      <c r="K4" s="953"/>
      <c r="L4" s="954"/>
    </row>
    <row r="5" spans="1:12" ht="299.25" customHeight="1">
      <c r="A5" s="16" t="s">
        <v>111</v>
      </c>
      <c r="B5" s="17" t="s">
        <v>112</v>
      </c>
      <c r="C5" s="17" t="s">
        <v>113</v>
      </c>
      <c r="D5" s="17" t="s">
        <v>114</v>
      </c>
      <c r="E5" s="17" t="s">
        <v>21</v>
      </c>
      <c r="F5" s="17" t="s">
        <v>115</v>
      </c>
      <c r="G5" s="18" t="s">
        <v>116</v>
      </c>
      <c r="H5" s="17" t="s">
        <v>117</v>
      </c>
      <c r="I5" s="17" t="s">
        <v>118</v>
      </c>
      <c r="J5" s="111" t="s">
        <v>119</v>
      </c>
      <c r="K5" s="928" t="s">
        <v>120</v>
      </c>
      <c r="L5" s="929"/>
    </row>
    <row r="6" spans="1:12" ht="152.25" customHeight="1">
      <c r="A6" s="17" t="s">
        <v>161</v>
      </c>
      <c r="B6" s="19">
        <f>'30'!I6</f>
        <v>316</v>
      </c>
      <c r="C6" s="20"/>
      <c r="D6" s="21">
        <f t="shared" ref="D6:D14" si="0">B6+C6</f>
        <v>316</v>
      </c>
      <c r="E6" s="22"/>
      <c r="F6" s="23"/>
      <c r="G6" s="24">
        <f>'30'!H6</f>
        <v>25474.100000000002</v>
      </c>
      <c r="H6" s="25">
        <f>SUM(G6,F6)</f>
        <v>25474.100000000002</v>
      </c>
      <c r="I6" s="112">
        <f>D6-E6</f>
        <v>316</v>
      </c>
      <c r="J6" s="113" t="e">
        <f t="shared" ref="J6:J26" si="1">E6/F6</f>
        <v>#DIV/0!</v>
      </c>
      <c r="K6" s="979"/>
      <c r="L6" s="980"/>
    </row>
    <row r="7" spans="1:12" ht="152.25" customHeight="1">
      <c r="A7" s="17" t="s">
        <v>162</v>
      </c>
      <c r="B7" s="19">
        <f>'30'!I7</f>
        <v>80</v>
      </c>
      <c r="C7" s="20"/>
      <c r="D7" s="26">
        <f t="shared" si="0"/>
        <v>80</v>
      </c>
      <c r="E7" s="22"/>
      <c r="F7" s="23"/>
      <c r="G7" s="24">
        <f>'30'!H7</f>
        <v>1535</v>
      </c>
      <c r="H7" s="21">
        <f t="shared" ref="H7:H26" si="2">SUM(G7,F7)</f>
        <v>1535</v>
      </c>
      <c r="I7" s="114">
        <f t="shared" ref="I7:I26" si="3">D7-E7</f>
        <v>80</v>
      </c>
      <c r="J7" s="115" t="e">
        <f t="shared" si="1"/>
        <v>#DIV/0!</v>
      </c>
      <c r="K7" s="974"/>
      <c r="L7" s="975"/>
    </row>
    <row r="8" spans="1:12" ht="152.25" customHeight="1">
      <c r="A8" s="17" t="s">
        <v>163</v>
      </c>
      <c r="B8" s="19">
        <f>'30'!I8</f>
        <v>123</v>
      </c>
      <c r="C8" s="20"/>
      <c r="D8" s="26">
        <f t="shared" si="0"/>
        <v>123</v>
      </c>
      <c r="E8" s="22"/>
      <c r="F8" s="23"/>
      <c r="G8" s="24">
        <f>'30'!H8</f>
        <v>1501</v>
      </c>
      <c r="H8" s="21">
        <f t="shared" si="2"/>
        <v>1501</v>
      </c>
      <c r="I8" s="114">
        <f t="shared" si="3"/>
        <v>123</v>
      </c>
      <c r="J8" s="115" t="e">
        <f t="shared" si="1"/>
        <v>#DIV/0!</v>
      </c>
      <c r="K8" s="918"/>
      <c r="L8" s="919"/>
    </row>
    <row r="9" spans="1:12" ht="200.25" customHeight="1">
      <c r="A9" s="17" t="s">
        <v>164</v>
      </c>
      <c r="B9" s="19">
        <f>'30'!I9</f>
        <v>95</v>
      </c>
      <c r="C9" s="20"/>
      <c r="D9" s="26">
        <f t="shared" si="0"/>
        <v>95</v>
      </c>
      <c r="E9" s="22"/>
      <c r="F9" s="23"/>
      <c r="G9" s="24">
        <f>'30'!H9</f>
        <v>3370</v>
      </c>
      <c r="H9" s="21">
        <f t="shared" si="2"/>
        <v>3370</v>
      </c>
      <c r="I9" s="114">
        <f t="shared" si="3"/>
        <v>95</v>
      </c>
      <c r="J9" s="115" t="e">
        <f t="shared" si="1"/>
        <v>#DIV/0!</v>
      </c>
      <c r="K9" s="918"/>
      <c r="L9" s="919"/>
    </row>
    <row r="10" spans="1:12" ht="277.5" thickBot="1">
      <c r="A10" s="17" t="s">
        <v>165</v>
      </c>
      <c r="B10" s="19">
        <f>'30'!I10</f>
        <v>26</v>
      </c>
      <c r="C10" s="20"/>
      <c r="D10" s="26">
        <f t="shared" si="0"/>
        <v>26</v>
      </c>
      <c r="E10" s="22"/>
      <c r="F10" s="23"/>
      <c r="G10" s="24">
        <f>'30'!H10</f>
        <v>97</v>
      </c>
      <c r="H10" s="21">
        <f t="shared" si="2"/>
        <v>97</v>
      </c>
      <c r="I10" s="114">
        <f t="shared" si="3"/>
        <v>26</v>
      </c>
      <c r="J10" s="115" t="e">
        <f t="shared" si="1"/>
        <v>#DIV/0!</v>
      </c>
      <c r="K10" s="918"/>
      <c r="L10" s="919"/>
    </row>
    <row r="11" spans="1:12" ht="277.5" thickBot="1">
      <c r="A11" s="27" t="s">
        <v>5</v>
      </c>
      <c r="B11" s="19">
        <f>'30'!I12</f>
        <v>0</v>
      </c>
      <c r="C11" s="20"/>
      <c r="D11" s="26">
        <f t="shared" si="0"/>
        <v>0</v>
      </c>
      <c r="E11" s="22"/>
      <c r="F11" s="23"/>
      <c r="G11" s="24">
        <f>'30'!H12</f>
        <v>0</v>
      </c>
      <c r="H11" s="21">
        <f t="shared" si="2"/>
        <v>0</v>
      </c>
      <c r="I11" s="114">
        <f t="shared" si="3"/>
        <v>0</v>
      </c>
      <c r="J11" s="115" t="e">
        <f t="shared" si="1"/>
        <v>#DIV/0!</v>
      </c>
      <c r="K11" s="918"/>
      <c r="L11" s="919"/>
    </row>
    <row r="12" spans="1:12" ht="184.5">
      <c r="A12" s="27" t="s">
        <v>167</v>
      </c>
      <c r="B12" s="19">
        <f>'30'!I13</f>
        <v>35</v>
      </c>
      <c r="C12" s="20"/>
      <c r="D12" s="26">
        <f t="shared" si="0"/>
        <v>35</v>
      </c>
      <c r="E12" s="22"/>
      <c r="F12" s="23"/>
      <c r="G12" s="24">
        <f>'30'!H13</f>
        <v>15</v>
      </c>
      <c r="H12" s="21">
        <f t="shared" si="2"/>
        <v>15</v>
      </c>
      <c r="I12" s="114">
        <f t="shared" si="3"/>
        <v>35</v>
      </c>
      <c r="J12" s="115" t="e">
        <f t="shared" si="1"/>
        <v>#DIV/0!</v>
      </c>
      <c r="K12" s="918"/>
      <c r="L12" s="919"/>
    </row>
    <row r="13" spans="1:12" ht="184.5">
      <c r="A13" s="27" t="s">
        <v>168</v>
      </c>
      <c r="B13" s="19">
        <f>'30'!I14</f>
        <v>0</v>
      </c>
      <c r="C13" s="20"/>
      <c r="D13" s="26">
        <f t="shared" si="0"/>
        <v>0</v>
      </c>
      <c r="E13" s="22"/>
      <c r="F13" s="23"/>
      <c r="G13" s="24">
        <f>'30'!H14</f>
        <v>0</v>
      </c>
      <c r="H13" s="21">
        <f t="shared" si="2"/>
        <v>0</v>
      </c>
      <c r="I13" s="114">
        <f t="shared" si="3"/>
        <v>0</v>
      </c>
      <c r="J13" s="115" t="e">
        <f t="shared" si="1"/>
        <v>#DIV/0!</v>
      </c>
      <c r="K13" s="918"/>
      <c r="L13" s="919"/>
    </row>
    <row r="14" spans="1:12" ht="193.5" customHeight="1">
      <c r="A14" s="27" t="s">
        <v>169</v>
      </c>
      <c r="B14" s="19">
        <f>'30'!I15</f>
        <v>0</v>
      </c>
      <c r="C14" s="20"/>
      <c r="D14" s="26">
        <f t="shared" si="0"/>
        <v>0</v>
      </c>
      <c r="E14" s="22"/>
      <c r="F14" s="23"/>
      <c r="G14" s="24">
        <f>'30'!H15</f>
        <v>0</v>
      </c>
      <c r="H14" s="21">
        <f t="shared" si="2"/>
        <v>0</v>
      </c>
      <c r="I14" s="114">
        <f t="shared" si="3"/>
        <v>0</v>
      </c>
      <c r="J14" s="115" t="e">
        <f t="shared" si="1"/>
        <v>#DIV/0!</v>
      </c>
      <c r="K14" s="918"/>
      <c r="L14" s="919"/>
    </row>
    <row r="15" spans="1:12" ht="276.75">
      <c r="A15" s="17" t="s">
        <v>170</v>
      </c>
      <c r="B15" s="19">
        <f>'30'!I16</f>
        <v>0</v>
      </c>
      <c r="C15" s="20"/>
      <c r="D15" s="26">
        <f t="shared" ref="D15:D26" si="4">C15+B15</f>
        <v>0</v>
      </c>
      <c r="E15" s="22"/>
      <c r="F15" s="23"/>
      <c r="G15" s="24">
        <f>'30'!H16</f>
        <v>0</v>
      </c>
      <c r="H15" s="21">
        <f t="shared" si="2"/>
        <v>0</v>
      </c>
      <c r="I15" s="114">
        <f t="shared" si="3"/>
        <v>0</v>
      </c>
      <c r="J15" s="115" t="e">
        <f t="shared" si="1"/>
        <v>#DIV/0!</v>
      </c>
      <c r="K15" s="862"/>
      <c r="L15" s="863"/>
    </row>
    <row r="16" spans="1:12" ht="152.25" customHeight="1">
      <c r="A16" s="17" t="s">
        <v>171</v>
      </c>
      <c r="B16" s="19">
        <f>'30'!I17</f>
        <v>0</v>
      </c>
      <c r="C16" s="20"/>
      <c r="D16" s="26">
        <f t="shared" si="4"/>
        <v>0</v>
      </c>
      <c r="E16" s="22"/>
      <c r="F16" s="23"/>
      <c r="G16" s="24">
        <f>'30'!H17</f>
        <v>0</v>
      </c>
      <c r="H16" s="21">
        <f t="shared" si="2"/>
        <v>0</v>
      </c>
      <c r="I16" s="114">
        <f t="shared" si="3"/>
        <v>0</v>
      </c>
      <c r="J16" s="115" t="e">
        <f t="shared" si="1"/>
        <v>#DIV/0!</v>
      </c>
      <c r="K16" s="918"/>
      <c r="L16" s="919"/>
    </row>
    <row r="17" spans="1:12" ht="152.25" customHeight="1" thickBot="1">
      <c r="A17" s="28" t="s">
        <v>11</v>
      </c>
      <c r="B17" s="19">
        <f>'30'!I18</f>
        <v>0</v>
      </c>
      <c r="C17" s="20"/>
      <c r="D17" s="26">
        <f t="shared" si="4"/>
        <v>0</v>
      </c>
      <c r="E17" s="22"/>
      <c r="F17" s="23"/>
      <c r="G17" s="24">
        <f>'30'!H18</f>
        <v>0</v>
      </c>
      <c r="H17" s="21">
        <f t="shared" si="2"/>
        <v>0</v>
      </c>
      <c r="I17" s="114">
        <f t="shared" si="3"/>
        <v>0</v>
      </c>
      <c r="J17" s="115" t="e">
        <f t="shared" si="1"/>
        <v>#DIV/0!</v>
      </c>
      <c r="K17" s="918"/>
      <c r="L17" s="919"/>
    </row>
    <row r="18" spans="1:12" ht="152.25" hidden="1" customHeight="1">
      <c r="A18" s="29"/>
      <c r="B18" s="19">
        <f>'30'!I19</f>
        <v>0</v>
      </c>
      <c r="C18" s="20"/>
      <c r="D18" s="26">
        <f t="shared" si="4"/>
        <v>0</v>
      </c>
      <c r="E18" s="22"/>
      <c r="F18" s="23"/>
      <c r="G18" s="24">
        <f>'30'!H19</f>
        <v>0</v>
      </c>
      <c r="H18" s="21">
        <f t="shared" si="2"/>
        <v>0</v>
      </c>
      <c r="I18" s="114">
        <f t="shared" si="3"/>
        <v>0</v>
      </c>
      <c r="J18" s="115" t="e">
        <f t="shared" si="1"/>
        <v>#DIV/0!</v>
      </c>
      <c r="K18" s="918"/>
      <c r="L18" s="919"/>
    </row>
    <row r="19" spans="1:12" ht="152.25" hidden="1" customHeight="1">
      <c r="A19" s="29"/>
      <c r="B19" s="19">
        <f>'30'!I20</f>
        <v>0</v>
      </c>
      <c r="C19" s="20"/>
      <c r="D19" s="26">
        <f t="shared" si="4"/>
        <v>0</v>
      </c>
      <c r="E19" s="22"/>
      <c r="F19" s="23"/>
      <c r="G19" s="24">
        <f>'30'!H20</f>
        <v>0</v>
      </c>
      <c r="H19" s="21">
        <f t="shared" si="2"/>
        <v>0</v>
      </c>
      <c r="I19" s="114">
        <f t="shared" si="3"/>
        <v>0</v>
      </c>
      <c r="J19" s="115" t="e">
        <f t="shared" si="1"/>
        <v>#DIV/0!</v>
      </c>
      <c r="K19" s="918"/>
      <c r="L19" s="919"/>
    </row>
    <row r="20" spans="1:12" ht="152.25" hidden="1" customHeight="1">
      <c r="A20" s="29"/>
      <c r="B20" s="19">
        <f>'30'!I21</f>
        <v>0</v>
      </c>
      <c r="C20" s="20"/>
      <c r="D20" s="26">
        <f t="shared" si="4"/>
        <v>0</v>
      </c>
      <c r="E20" s="22"/>
      <c r="F20" s="23"/>
      <c r="G20" s="24">
        <f>'30'!H21</f>
        <v>0</v>
      </c>
      <c r="H20" s="21">
        <f t="shared" si="2"/>
        <v>0</v>
      </c>
      <c r="I20" s="114">
        <f t="shared" si="3"/>
        <v>0</v>
      </c>
      <c r="J20" s="115" t="e">
        <f t="shared" si="1"/>
        <v>#DIV/0!</v>
      </c>
      <c r="K20" s="918"/>
      <c r="L20" s="919"/>
    </row>
    <row r="21" spans="1:12" ht="152.25" hidden="1" customHeight="1">
      <c r="A21" s="29"/>
      <c r="B21" s="19">
        <f>'30'!I22</f>
        <v>0</v>
      </c>
      <c r="C21" s="20"/>
      <c r="D21" s="26">
        <f t="shared" si="4"/>
        <v>0</v>
      </c>
      <c r="E21" s="22"/>
      <c r="F21" s="23"/>
      <c r="G21" s="24">
        <f>'30'!H22</f>
        <v>0</v>
      </c>
      <c r="H21" s="21">
        <f t="shared" si="2"/>
        <v>0</v>
      </c>
      <c r="I21" s="114">
        <f t="shared" si="3"/>
        <v>0</v>
      </c>
      <c r="J21" s="115" t="e">
        <f t="shared" si="1"/>
        <v>#DIV/0!</v>
      </c>
      <c r="K21" s="918"/>
      <c r="L21" s="919"/>
    </row>
    <row r="22" spans="1:12" ht="152.25" hidden="1" customHeight="1">
      <c r="A22" s="29"/>
      <c r="B22" s="19">
        <f>'30'!I23</f>
        <v>0</v>
      </c>
      <c r="C22" s="30"/>
      <c r="D22" s="26">
        <f t="shared" si="4"/>
        <v>0</v>
      </c>
      <c r="E22" s="31"/>
      <c r="F22" s="32"/>
      <c r="G22" s="24">
        <f>'30'!H23</f>
        <v>0</v>
      </c>
      <c r="H22" s="21">
        <f t="shared" si="2"/>
        <v>0</v>
      </c>
      <c r="I22" s="114">
        <f t="shared" si="3"/>
        <v>0</v>
      </c>
      <c r="J22" s="115" t="e">
        <f t="shared" si="1"/>
        <v>#DIV/0!</v>
      </c>
      <c r="K22" s="918"/>
      <c r="L22" s="919"/>
    </row>
    <row r="23" spans="1:12" ht="152.25" hidden="1" customHeight="1">
      <c r="A23" s="29"/>
      <c r="B23" s="19">
        <f>'30'!I24</f>
        <v>0</v>
      </c>
      <c r="C23" s="30"/>
      <c r="D23" s="26">
        <f t="shared" si="4"/>
        <v>0</v>
      </c>
      <c r="E23" s="31"/>
      <c r="F23" s="32"/>
      <c r="G23" s="24">
        <f>'30'!H24</f>
        <v>0</v>
      </c>
      <c r="H23" s="21">
        <f t="shared" si="2"/>
        <v>0</v>
      </c>
      <c r="I23" s="114">
        <f t="shared" si="3"/>
        <v>0</v>
      </c>
      <c r="J23" s="115" t="e">
        <f t="shared" si="1"/>
        <v>#DIV/0!</v>
      </c>
      <c r="K23" s="918"/>
      <c r="L23" s="919"/>
    </row>
    <row r="24" spans="1:12" ht="152.25" hidden="1" customHeight="1">
      <c r="A24" s="29"/>
      <c r="B24" s="19">
        <f>'30'!I25</f>
        <v>0</v>
      </c>
      <c r="C24" s="30"/>
      <c r="D24" s="26">
        <f t="shared" si="4"/>
        <v>0</v>
      </c>
      <c r="E24" s="31"/>
      <c r="F24" s="32"/>
      <c r="G24" s="24">
        <f>'30'!H25</f>
        <v>0</v>
      </c>
      <c r="H24" s="21">
        <f t="shared" si="2"/>
        <v>0</v>
      </c>
      <c r="I24" s="114">
        <f t="shared" si="3"/>
        <v>0</v>
      </c>
      <c r="J24" s="115" t="e">
        <f t="shared" si="1"/>
        <v>#DIV/0!</v>
      </c>
      <c r="K24" s="918"/>
      <c r="L24" s="919"/>
    </row>
    <row r="25" spans="1:12" ht="152.25" hidden="1" customHeight="1">
      <c r="A25" s="29"/>
      <c r="B25" s="19">
        <f>'30'!I26</f>
        <v>0</v>
      </c>
      <c r="C25" s="33"/>
      <c r="D25" s="34">
        <f t="shared" si="4"/>
        <v>0</v>
      </c>
      <c r="E25" s="35"/>
      <c r="F25" s="36"/>
      <c r="G25" s="24">
        <f>'30'!H26</f>
        <v>0</v>
      </c>
      <c r="H25" s="37">
        <f t="shared" si="2"/>
        <v>0</v>
      </c>
      <c r="I25" s="116">
        <f t="shared" si="3"/>
        <v>0</v>
      </c>
      <c r="J25" s="117" t="e">
        <f t="shared" si="1"/>
        <v>#DIV/0!</v>
      </c>
      <c r="K25" s="918"/>
      <c r="L25" s="919"/>
    </row>
    <row r="26" spans="1:12" ht="152.25" hidden="1" customHeight="1">
      <c r="A26" s="38"/>
      <c r="B26" s="19">
        <f>'30'!I27</f>
        <v>0</v>
      </c>
      <c r="C26" s="39"/>
      <c r="D26" s="34">
        <f t="shared" si="4"/>
        <v>0</v>
      </c>
      <c r="E26" s="39"/>
      <c r="F26" s="36"/>
      <c r="G26" s="24">
        <f>'30'!H27</f>
        <v>0</v>
      </c>
      <c r="H26" s="37">
        <f t="shared" si="2"/>
        <v>0</v>
      </c>
      <c r="I26" s="116">
        <f t="shared" si="3"/>
        <v>0</v>
      </c>
      <c r="J26" s="48" t="e">
        <f t="shared" si="1"/>
        <v>#DIV/0!</v>
      </c>
      <c r="K26" s="118"/>
      <c r="L26" s="119"/>
    </row>
    <row r="27" spans="1:12" ht="152.25" customHeight="1" thickBot="1">
      <c r="A27" s="40" t="s">
        <v>114</v>
      </c>
      <c r="B27" s="41"/>
      <c r="C27" s="40">
        <f>SUM(C6:C26)</f>
        <v>0</v>
      </c>
      <c r="D27" s="40">
        <f t="shared" ref="D27:F27" si="5">SUM(D6:D26)</f>
        <v>675</v>
      </c>
      <c r="E27" s="40">
        <f t="shared" si="5"/>
        <v>0</v>
      </c>
      <c r="F27" s="40">
        <f t="shared" si="5"/>
        <v>0</v>
      </c>
      <c r="G27" s="883"/>
      <c r="H27" s="884"/>
      <c r="I27" s="40">
        <f t="shared" ref="I27" si="6">SUM(I6:I26)</f>
        <v>675</v>
      </c>
      <c r="J27" s="111"/>
      <c r="K27" s="920"/>
      <c r="L27" s="921"/>
    </row>
    <row r="28" spans="1:12" ht="152.25" customHeight="1" thickBot="1">
      <c r="A28" s="43"/>
      <c r="B28" s="44"/>
      <c r="C28" s="44"/>
      <c r="D28" s="44"/>
      <c r="E28" s="44"/>
      <c r="F28" s="44"/>
      <c r="G28" s="44"/>
      <c r="H28" s="44"/>
      <c r="I28" s="44"/>
      <c r="J28" s="120"/>
    </row>
    <row r="29" spans="1:12" ht="260.25" customHeight="1">
      <c r="A29" s="45"/>
      <c r="B29" s="17" t="s">
        <v>126</v>
      </c>
      <c r="C29" s="17" t="s">
        <v>127</v>
      </c>
      <c r="D29" s="17" t="s">
        <v>128</v>
      </c>
      <c r="E29" s="17" t="s">
        <v>129</v>
      </c>
      <c r="F29" s="17" t="s">
        <v>130</v>
      </c>
      <c r="G29" s="17" t="s">
        <v>131</v>
      </c>
      <c r="H29" s="943" t="s">
        <v>120</v>
      </c>
      <c r="I29" s="944"/>
    </row>
    <row r="30" spans="1:12" ht="152.25" customHeight="1">
      <c r="A30" s="17" t="s">
        <v>132</v>
      </c>
      <c r="B30" s="46">
        <f>'30'!G31</f>
        <v>535</v>
      </c>
      <c r="C30" s="47">
        <v>0</v>
      </c>
      <c r="D30" s="48">
        <f>SUM(B30:C30)</f>
        <v>535</v>
      </c>
      <c r="E30" s="49">
        <f>C27</f>
        <v>0</v>
      </c>
      <c r="F30" s="48">
        <f>E27</f>
        <v>0</v>
      </c>
      <c r="G30" s="50">
        <f>D30-E30</f>
        <v>535</v>
      </c>
      <c r="H30" s="945"/>
      <c r="I30" s="946"/>
    </row>
    <row r="31" spans="1:12" ht="152.25" customHeight="1">
      <c r="A31" s="51" t="s">
        <v>133</v>
      </c>
      <c r="B31" s="52">
        <v>0</v>
      </c>
      <c r="C31" s="47">
        <v>0</v>
      </c>
      <c r="D31" s="48">
        <f>SUM(B31,C31)</f>
        <v>0</v>
      </c>
      <c r="E31" s="53">
        <v>0</v>
      </c>
      <c r="F31" s="54">
        <v>0</v>
      </c>
      <c r="G31" s="50">
        <f>D31-F31</f>
        <v>0</v>
      </c>
      <c r="H31" s="902"/>
      <c r="I31" s="903"/>
      <c r="J31" s="121"/>
    </row>
    <row r="32" spans="1:12" s="1" customFormat="1" ht="124.5" customHeight="1">
      <c r="A32" s="55"/>
      <c r="B32" s="44"/>
      <c r="C32" s="56"/>
      <c r="D32" s="56"/>
      <c r="E32" s="56"/>
      <c r="F32" s="44"/>
      <c r="G32" s="57"/>
      <c r="H32" s="58"/>
      <c r="I32" s="58"/>
      <c r="J32" s="122"/>
    </row>
    <row r="33" spans="1:11" ht="109.5" customHeight="1">
      <c r="A33" s="930" t="s">
        <v>134</v>
      </c>
      <c r="B33" s="931"/>
      <c r="C33" s="931"/>
      <c r="D33" s="931"/>
      <c r="E33" s="931"/>
      <c r="F33" s="931"/>
      <c r="G33" s="932"/>
      <c r="H33" s="59"/>
      <c r="I33" s="59"/>
      <c r="J33" s="84"/>
    </row>
    <row r="34" spans="1:11" ht="199.5" customHeight="1">
      <c r="A34" s="60" t="s">
        <v>135</v>
      </c>
      <c r="B34" s="61" t="s">
        <v>136</v>
      </c>
      <c r="C34" s="62" t="s">
        <v>127</v>
      </c>
      <c r="D34" s="60" t="s">
        <v>137</v>
      </c>
      <c r="E34" s="63" t="s">
        <v>138</v>
      </c>
      <c r="F34" s="16" t="s">
        <v>131</v>
      </c>
      <c r="G34" s="16" t="s">
        <v>42</v>
      </c>
      <c r="H34" s="59"/>
      <c r="I34" s="59"/>
      <c r="J34" s="123"/>
    </row>
    <row r="35" spans="1:11" ht="184.5">
      <c r="A35" s="64" t="s">
        <v>139</v>
      </c>
      <c r="B35" s="65">
        <f>'30'!F36</f>
        <v>57</v>
      </c>
      <c r="C35" s="66"/>
      <c r="D35" s="67">
        <f>SUM(B35:C35)</f>
        <v>57</v>
      </c>
      <c r="E35" s="68"/>
      <c r="F35" s="67">
        <f>D35-E35</f>
        <v>57</v>
      </c>
      <c r="G35" s="69"/>
      <c r="H35" s="59"/>
      <c r="I35" s="59"/>
    </row>
    <row r="36" spans="1:11" ht="92.25">
      <c r="A36" s="70" t="s">
        <v>140</v>
      </c>
      <c r="B36" s="65">
        <f>'30'!F37</f>
        <v>225</v>
      </c>
      <c r="C36" s="66"/>
      <c r="D36" s="71">
        <f t="shared" ref="D36:D46" si="7">SUM(B36:C36)</f>
        <v>225</v>
      </c>
      <c r="E36" s="68"/>
      <c r="F36" s="71">
        <f t="shared" ref="F36:F46" si="8">D36-E36</f>
        <v>225</v>
      </c>
      <c r="G36" s="72"/>
      <c r="H36" s="59"/>
      <c r="I36" s="59"/>
    </row>
    <row r="37" spans="1:11" ht="184.5">
      <c r="A37" s="70" t="s">
        <v>141</v>
      </c>
      <c r="B37" s="65">
        <f>'30'!F38</f>
        <v>245</v>
      </c>
      <c r="C37" s="66"/>
      <c r="D37" s="71">
        <f t="shared" si="7"/>
        <v>245</v>
      </c>
      <c r="E37" s="68"/>
      <c r="F37" s="71">
        <f t="shared" si="8"/>
        <v>245</v>
      </c>
      <c r="G37" s="73"/>
      <c r="H37" s="74"/>
      <c r="I37" s="74"/>
    </row>
    <row r="38" spans="1:11" ht="184.5">
      <c r="A38" s="70" t="s">
        <v>142</v>
      </c>
      <c r="B38" s="65">
        <f>'30'!F39</f>
        <v>3</v>
      </c>
      <c r="C38" s="66"/>
      <c r="D38" s="71">
        <f t="shared" si="7"/>
        <v>3</v>
      </c>
      <c r="E38" s="68"/>
      <c r="F38" s="71">
        <f t="shared" si="8"/>
        <v>3</v>
      </c>
      <c r="G38" s="190"/>
      <c r="H38" s="59"/>
      <c r="I38" s="59"/>
    </row>
    <row r="39" spans="1:11" ht="184.5">
      <c r="A39" s="70" t="s">
        <v>143</v>
      </c>
      <c r="B39" s="65">
        <f>'30'!F40</f>
        <v>0</v>
      </c>
      <c r="C39" s="66"/>
      <c r="D39" s="71">
        <f t="shared" si="7"/>
        <v>0</v>
      </c>
      <c r="E39" s="68"/>
      <c r="F39" s="71">
        <f t="shared" si="8"/>
        <v>0</v>
      </c>
      <c r="G39" s="72"/>
      <c r="H39" s="59"/>
      <c r="I39" s="59"/>
    </row>
    <row r="40" spans="1:11" ht="184.5">
      <c r="A40" s="70" t="s">
        <v>144</v>
      </c>
      <c r="B40" s="65">
        <f>'30'!F41</f>
        <v>0</v>
      </c>
      <c r="C40" s="66"/>
      <c r="D40" s="71">
        <f t="shared" si="7"/>
        <v>0</v>
      </c>
      <c r="E40" s="68"/>
      <c r="F40" s="71">
        <f t="shared" si="8"/>
        <v>0</v>
      </c>
      <c r="G40" s="72"/>
      <c r="H40" s="59"/>
      <c r="I40" s="59"/>
    </row>
    <row r="41" spans="1:11" ht="184.5">
      <c r="A41" s="70" t="s">
        <v>145</v>
      </c>
      <c r="B41" s="65">
        <f>'30'!F42</f>
        <v>0</v>
      </c>
      <c r="C41" s="66"/>
      <c r="D41" s="71">
        <f t="shared" si="7"/>
        <v>0</v>
      </c>
      <c r="E41" s="68"/>
      <c r="F41" s="71">
        <f t="shared" si="8"/>
        <v>0</v>
      </c>
      <c r="G41" s="72"/>
      <c r="H41" s="59"/>
      <c r="I41" s="59"/>
    </row>
    <row r="42" spans="1:11" ht="184.5">
      <c r="A42" s="70" t="s">
        <v>86</v>
      </c>
      <c r="B42" s="65">
        <f>'30'!F43</f>
        <v>0</v>
      </c>
      <c r="C42" s="66"/>
      <c r="D42" s="71">
        <f t="shared" si="7"/>
        <v>0</v>
      </c>
      <c r="E42" s="68"/>
      <c r="F42" s="71">
        <f t="shared" si="8"/>
        <v>0</v>
      </c>
      <c r="G42" s="75"/>
      <c r="H42" s="76"/>
      <c r="I42" s="59"/>
      <c r="J42" s="124"/>
    </row>
    <row r="43" spans="1:11" ht="92.25">
      <c r="A43" s="70" t="s">
        <v>146</v>
      </c>
      <c r="B43" s="65">
        <f>'30'!F44</f>
        <v>10</v>
      </c>
      <c r="C43" s="66"/>
      <c r="D43" s="71">
        <f t="shared" si="7"/>
        <v>10</v>
      </c>
      <c r="E43" s="68"/>
      <c r="F43" s="71">
        <f t="shared" si="8"/>
        <v>10</v>
      </c>
      <c r="G43" s="664"/>
      <c r="H43" s="74"/>
      <c r="I43" s="74"/>
    </row>
    <row r="44" spans="1:11" ht="276.75">
      <c r="A44" s="70" t="s">
        <v>147</v>
      </c>
      <c r="B44" s="65">
        <f>'30'!F45</f>
        <v>0</v>
      </c>
      <c r="C44" s="66"/>
      <c r="D44" s="71">
        <f t="shared" si="7"/>
        <v>0</v>
      </c>
      <c r="E44" s="68"/>
      <c r="F44" s="71">
        <f t="shared" si="8"/>
        <v>0</v>
      </c>
      <c r="G44" s="77"/>
      <c r="H44" s="57"/>
      <c r="I44" s="76"/>
    </row>
    <row r="45" spans="1:11" ht="184.5">
      <c r="A45" s="78" t="s">
        <v>148</v>
      </c>
      <c r="B45" s="65">
        <f>'30'!F46</f>
        <v>0</v>
      </c>
      <c r="C45" s="66"/>
      <c r="D45" s="71">
        <f t="shared" si="7"/>
        <v>0</v>
      </c>
      <c r="E45" s="68"/>
      <c r="F45" s="71">
        <f t="shared" si="8"/>
        <v>0</v>
      </c>
      <c r="G45" s="662"/>
      <c r="H45" s="57"/>
      <c r="I45" s="76"/>
    </row>
    <row r="46" spans="1:11" ht="106.5" customHeight="1">
      <c r="A46" s="80" t="s">
        <v>92</v>
      </c>
      <c r="B46" s="65">
        <f>'30'!F47</f>
        <v>0</v>
      </c>
      <c r="C46" s="66"/>
      <c r="D46" s="81">
        <f t="shared" si="7"/>
        <v>0</v>
      </c>
      <c r="E46" s="68"/>
      <c r="F46" s="81">
        <f t="shared" si="8"/>
        <v>0</v>
      </c>
      <c r="G46" s="82"/>
      <c r="H46" s="57"/>
      <c r="I46" s="59"/>
    </row>
    <row r="47" spans="1:11" ht="96.75" customHeight="1">
      <c r="A47" s="83"/>
      <c r="B47" s="84"/>
      <c r="C47" s="84"/>
      <c r="D47" s="84"/>
      <c r="E47" s="84"/>
      <c r="F47" s="85"/>
      <c r="G47" s="86"/>
      <c r="H47" s="57"/>
      <c r="I47" s="110"/>
      <c r="J47" s="57"/>
    </row>
    <row r="48" spans="1:11" ht="96.75" customHeight="1">
      <c r="A48" s="87" t="s">
        <v>149</v>
      </c>
      <c r="B48" s="88" t="s">
        <v>150</v>
      </c>
      <c r="C48" s="89" t="s">
        <v>151</v>
      </c>
      <c r="D48" s="89" t="s">
        <v>152</v>
      </c>
      <c r="E48" s="90" t="s">
        <v>153</v>
      </c>
      <c r="F48" s="89" t="s">
        <v>154</v>
      </c>
      <c r="G48" s="91" t="s">
        <v>155</v>
      </c>
      <c r="H48" s="89" t="s">
        <v>156</v>
      </c>
      <c r="I48" s="88" t="s">
        <v>42</v>
      </c>
      <c r="J48" s="56"/>
      <c r="K48" s="1"/>
    </row>
    <row r="49" spans="1:11" s="2" customFormat="1" ht="96.75" customHeight="1">
      <c r="A49" s="92" t="s">
        <v>157</v>
      </c>
      <c r="B49" s="93">
        <v>0</v>
      </c>
      <c r="C49" s="94">
        <v>0</v>
      </c>
      <c r="D49" s="94">
        <v>0</v>
      </c>
      <c r="E49" s="94">
        <v>0</v>
      </c>
      <c r="F49" s="95">
        <v>0</v>
      </c>
      <c r="G49" s="96">
        <v>0</v>
      </c>
      <c r="H49" s="97">
        <v>0</v>
      </c>
      <c r="I49" s="125"/>
      <c r="J49" s="126"/>
      <c r="K49" s="127"/>
    </row>
    <row r="50" spans="1:11" s="2" customFormat="1" ht="96.75" customHeight="1">
      <c r="A50" s="98" t="s">
        <v>158</v>
      </c>
      <c r="B50" s="99">
        <v>0</v>
      </c>
      <c r="C50" s="100">
        <v>0</v>
      </c>
      <c r="D50" s="100">
        <v>0</v>
      </c>
      <c r="E50" s="100">
        <v>0</v>
      </c>
      <c r="F50" s="101">
        <v>0</v>
      </c>
      <c r="G50" s="102">
        <v>0</v>
      </c>
      <c r="H50" s="103">
        <v>0</v>
      </c>
      <c r="I50" s="128"/>
      <c r="J50" s="126"/>
      <c r="K50" s="127"/>
    </row>
    <row r="51" spans="1:11" s="2" customFormat="1" ht="96.75" customHeight="1">
      <c r="A51" s="104" t="s">
        <v>159</v>
      </c>
      <c r="B51" s="105">
        <v>0</v>
      </c>
      <c r="C51" s="106">
        <v>0</v>
      </c>
      <c r="D51" s="106">
        <v>0</v>
      </c>
      <c r="E51" s="106">
        <v>0</v>
      </c>
      <c r="F51" s="107">
        <v>0</v>
      </c>
      <c r="G51" s="108">
        <v>0</v>
      </c>
      <c r="H51" s="109">
        <v>0</v>
      </c>
      <c r="I51" s="129"/>
      <c r="J51" s="130"/>
      <c r="K51" s="127"/>
    </row>
    <row r="52" spans="1:11">
      <c r="C52" s="110"/>
      <c r="D52" s="110"/>
      <c r="E52" s="110"/>
      <c r="F52" s="84"/>
      <c r="G52" s="84"/>
      <c r="H52" s="84"/>
      <c r="I52" s="110"/>
      <c r="J52" s="131"/>
      <c r="K52" s="1"/>
    </row>
  </sheetData>
  <sheetProtection sheet="1" objects="1" scenarios="1" formatCells="0" formatColumns="0" formatRows="0" insertColumns="0" insertRows="0"/>
  <mergeCells count="31">
    <mergeCell ref="A33:G33"/>
    <mergeCell ref="I2:L4"/>
    <mergeCell ref="G27:H27"/>
    <mergeCell ref="K27:L27"/>
    <mergeCell ref="H29:I29"/>
    <mergeCell ref="H30:I30"/>
    <mergeCell ref="H31:I31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K7:L7"/>
    <mergeCell ref="K8:L8"/>
    <mergeCell ref="K9:L9"/>
    <mergeCell ref="K10:L10"/>
    <mergeCell ref="A1:L1"/>
    <mergeCell ref="C2:F2"/>
    <mergeCell ref="A4:B4"/>
    <mergeCell ref="K5:L5"/>
    <mergeCell ref="K6:L6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3" master="" otherUserPermission="visible"/>
  <rangeList sheetStid="34" master="" otherUserPermission="visible"/>
  <rangeList sheetStid="35" master="" otherUserPermission="visible"/>
  <rangeList sheetStid="36" master="" otherUserPermission="visible"/>
  <rangeList sheetStid="1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  <rangeList sheetStid="24" master="" otherUserPermission="visible"/>
  <rangeList sheetStid="25" master="" otherUserPermission="visible"/>
  <rangeList sheetStid="26" master="" otherUserPermission="visible"/>
  <rangeList sheetStid="27" master="" otherUserPermission="visible"/>
  <rangeList sheetStid="28" master="" otherUserPermission="visible"/>
  <rangeList sheetStid="29" master="" otherUserPermission="visible"/>
  <rangeList sheetStid="30" master="" otherUserPermission="visible"/>
  <rangeList sheetStid="31" master="" otherUserPermission="visible"/>
  <rangeList sheetStid="3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</vt:i4>
      </vt:variant>
    </vt:vector>
  </HeadingPairs>
  <TitlesOfParts>
    <vt:vector size="36" baseType="lpstr">
      <vt:lpstr>HSD Consumption Master Seet</vt:lpstr>
      <vt:lpstr>Oil Tracking Sheet</vt:lpstr>
      <vt:lpstr>HSD TOP UP Sheet</vt:lpstr>
      <vt:lpstr>Hydraulic Oil Level Sheet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GTC-50-1</dc:creator>
  <cp:lastModifiedBy>ADMIN</cp:lastModifiedBy>
  <cp:lastPrinted>2026-06-03T06:04:17Z</cp:lastPrinted>
  <dcterms:created xsi:type="dcterms:W3CDTF">2006-09-16T00:00:00Z</dcterms:created>
  <dcterms:modified xsi:type="dcterms:W3CDTF">2026-08-21T04:41:36Z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BE2E1D7EEC2A46B189EB08F9EB68F9B4_12</vt:lpwstr>
  </property>
  <property fmtid="{D5CDD505-2E9C-101B-9397-08002B2CF9AE}" pid="3" name="KSOProductBuildVer">
    <vt:lpwstr>1033-12.2.0.20782</vt:lpwstr>
  </property>
</Properties>
</file>