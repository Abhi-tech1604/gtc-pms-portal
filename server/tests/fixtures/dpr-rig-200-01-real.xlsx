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4000" windowHeight="9435" firstSheet="1" activeTab="1"/>
  </bookViews>
  <sheets>
    <sheet name="Lists" sheetId="1" state="veryHidden" r:id="rId1"/>
    <sheet name="DPR" sheetId="2" r:id="rId2"/>
  </sheets>
  <calcPr calcId="152511"/>
</workbook>
</file>

<file path=xl/calcChain.xml><?xml version="1.0" encoding="utf-8"?>
<calcChain xmlns="http://schemas.openxmlformats.org/spreadsheetml/2006/main">
  <c r="P19" i="2" l="1"/>
  <c r="L19" i="2"/>
  <c r="F19" i="2"/>
  <c r="P18" i="2"/>
  <c r="L18" i="2"/>
  <c r="F18" i="2"/>
  <c r="P17" i="2"/>
  <c r="L17" i="2"/>
  <c r="F17" i="2"/>
  <c r="P16" i="2"/>
  <c r="L16" i="2"/>
  <c r="F16" i="2"/>
  <c r="P15" i="2"/>
  <c r="L15" i="2"/>
  <c r="F15" i="2"/>
  <c r="P14" i="2"/>
  <c r="L14" i="2"/>
  <c r="F14" i="2"/>
  <c r="P13" i="2"/>
  <c r="L13" i="2"/>
  <c r="F13" i="2"/>
  <c r="P12" i="2"/>
  <c r="L12" i="2"/>
  <c r="F12" i="2"/>
  <c r="P11" i="2"/>
  <c r="L11" i="2"/>
  <c r="F11" i="2"/>
  <c r="P10" i="2"/>
  <c r="L10" i="2"/>
  <c r="F10" i="2"/>
  <c r="P9" i="2"/>
  <c r="L9" i="2"/>
  <c r="F9" i="2"/>
  <c r="P8" i="2"/>
  <c r="L8" i="2"/>
  <c r="F8" i="2"/>
  <c r="P7" i="2"/>
  <c r="L7" i="2"/>
  <c r="F7" i="2"/>
  <c r="P6" i="2"/>
  <c r="L6" i="2"/>
  <c r="F6" i="2"/>
  <c r="P5" i="2"/>
  <c r="L5" i="2"/>
  <c r="F5" i="2"/>
  <c r="P4" i="2"/>
  <c r="P20" i="2" s="1"/>
  <c r="L4" i="2"/>
  <c r="F4" i="2"/>
  <c r="L20" i="2" l="1"/>
  <c r="F20" i="2"/>
</calcChain>
</file>

<file path=xl/sharedStrings.xml><?xml version="1.0" encoding="utf-8"?>
<sst xmlns="http://schemas.openxmlformats.org/spreadsheetml/2006/main" count="119" uniqueCount="93">
  <si>
    <t>GTC 50-01</t>
  </si>
  <si>
    <t>R1</t>
  </si>
  <si>
    <t>02 - Drilling</t>
  </si>
  <si>
    <t>Draw Works</t>
  </si>
  <si>
    <t>5 1/2"</t>
  </si>
  <si>
    <t>2 7/8"</t>
  </si>
  <si>
    <t>GTC 50-02</t>
  </si>
  <si>
    <t>R2</t>
  </si>
  <si>
    <t>03 - Reaming</t>
  </si>
  <si>
    <t>Mud Pump</t>
  </si>
  <si>
    <t>6"</t>
  </si>
  <si>
    <t>4 1/2"</t>
  </si>
  <si>
    <t>GTC 50-03</t>
  </si>
  <si>
    <t>R3</t>
  </si>
  <si>
    <t>04 - Coring</t>
  </si>
  <si>
    <t>Kelly</t>
  </si>
  <si>
    <t>8 1/2"</t>
  </si>
  <si>
    <t>5"</t>
  </si>
  <si>
    <t>GTC 100-01</t>
  </si>
  <si>
    <t>ILM</t>
  </si>
  <si>
    <t>05 - C&amp;C</t>
  </si>
  <si>
    <t>Rotary/PTO</t>
  </si>
  <si>
    <t>12 1/4"</t>
  </si>
  <si>
    <t>GTC 100-02</t>
  </si>
  <si>
    <t>06 - Tripping</t>
  </si>
  <si>
    <t>Carrier Engine</t>
  </si>
  <si>
    <t>17 1/2"</t>
  </si>
  <si>
    <t>7"</t>
  </si>
  <si>
    <t>GTC 100-03</t>
  </si>
  <si>
    <t>07 - Lubrication</t>
  </si>
  <si>
    <t>Compressor</t>
  </si>
  <si>
    <t>26"</t>
  </si>
  <si>
    <t>9 5/8"</t>
  </si>
  <si>
    <t>GTC 100-04</t>
  </si>
  <si>
    <t>08 - Breakdown</t>
  </si>
  <si>
    <t>Drillograph</t>
  </si>
  <si>
    <t>13 3/8"</t>
  </si>
  <si>
    <t>GTC 100-07</t>
  </si>
  <si>
    <t>09 - Slip &amp; Cut</t>
  </si>
  <si>
    <t>Others</t>
  </si>
  <si>
    <t>20"</t>
  </si>
  <si>
    <t>GTC 100-08</t>
  </si>
  <si>
    <t>10 - Deviation Survey</t>
  </si>
  <si>
    <t>GTC 150-02</t>
  </si>
  <si>
    <t>11 - Logging</t>
  </si>
  <si>
    <t>GTC 160-01</t>
  </si>
  <si>
    <t>12 - Casing R/in</t>
  </si>
  <si>
    <t>GTC 200-01</t>
  </si>
  <si>
    <t>13 - Wait on Cement</t>
  </si>
  <si>
    <t>GTC 250-01</t>
  </si>
  <si>
    <t>14 - Nipple Up/Down BOP</t>
  </si>
  <si>
    <t>GTC 1000-01</t>
  </si>
  <si>
    <t>15 - Test BOP</t>
  </si>
  <si>
    <t>GTC 1000-02</t>
  </si>
  <si>
    <t>16 - Drill Stem BOP</t>
  </si>
  <si>
    <t>17 - Plug Back</t>
  </si>
  <si>
    <t>18 - Cementing</t>
  </si>
  <si>
    <t>19 - Fishing</t>
  </si>
  <si>
    <t>20 - Directional Work</t>
  </si>
  <si>
    <t>21 - Tubing Job</t>
  </si>
  <si>
    <t>22 - Testing LOT CIT</t>
  </si>
  <si>
    <t>23 - Other</t>
  </si>
  <si>
    <t>GTC — Daily Progress Report (DPR)</t>
  </si>
  <si>
    <t>RIG NO.</t>
  </si>
  <si>
    <t>DATE</t>
  </si>
  <si>
    <t>DRILLING SECTION</t>
  </si>
  <si>
    <t>CASING SECTION</t>
  </si>
  <si>
    <t>WELL NAME</t>
  </si>
  <si>
    <t>OPERATION
TASK CODE</t>
  </si>
  <si>
    <t>WORK
TYPE</t>
  </si>
  <si>
    <t>START
TIME</t>
  </si>
  <si>
    <t>END
TIME</t>
  </si>
  <si>
    <t>TOTAL TIME
(Auto)</t>
  </si>
  <si>
    <t>DESCRIPTION / REMARKS</t>
  </si>
  <si>
    <t>BREAKDOWN
EQUIPMENT</t>
  </si>
  <si>
    <t>DRILLING
SECTION</t>
  </si>
  <si>
    <t>FROM
(M)</t>
  </si>
  <si>
    <t>TO
(M)</t>
  </si>
  <si>
    <t>TOTAL
(Auto)</t>
  </si>
  <si>
    <t>CASING
SECTION</t>
  </si>
  <si>
    <t>TOTAL</t>
  </si>
  <si>
    <t>CONTINUED DRILLING8 1/2" HOLE SECTION DRILL FROM 1950M TO 2001M (T/D COMPLTED)</t>
  </si>
  <si>
    <t>PUMPED HI VISC PILL C&amp;C MUD PRIOR TO WIPE TRIP FLOW CHECKED NEGATIVE. PUMP SLUG R / BACK KELLY.</t>
  </si>
  <si>
    <t>START R/IN BIT FROM 588M TO 1989M. INERMITTENT HELD UP ZONES CLEARED BY RECIPROCATIONS. M/UP KELLY WASH DOWN FROM 1989M TO 2001M (BTM).</t>
  </si>
  <si>
    <t>CONTINUED P/O BIT FROM 1009M UPTO 588M (INSIDE SHOE) FILLUP HOLE WITH MUD AT ALL TIME.</t>
  </si>
  <si>
    <t xml:space="preserve">PUMPED HI-VISC PILL. C&amp;C MUD PRIOR TO SHORT TRIP. FLOW CHECK FOUND NEGATIVE, PUMPED SLUG R/B KELLY. </t>
  </si>
  <si>
    <t>STARTED PULLOUT BIT FROM 2001M TI 1344M FREELY. HOLE KEPT FULL WITH MUD AT ALL TIMES.</t>
  </si>
  <si>
    <t>STARTED R/IN BIT FROM 1344M UPTO 1923M FREELY. FURTHER R/IN IIP.</t>
  </si>
  <si>
    <t>LNMH</t>
  </si>
  <si>
    <t>8-1/2"</t>
  </si>
  <si>
    <t>P/O</t>
  </si>
  <si>
    <t>STARTED P/O FOM 2001M TO 1009M. DURING P/O OBSERVED SEVERE T/PULL FROM 1781M TO 1714M. CLEARED THE SAME BY MULTIPLE RECIPROCATION. INTERMITTENT TGHT PULL CLEARED BY RECIPROCATION. HOLE KEPT FILL WITH MUD AT ALL TIME (FP/O IIP)</t>
  </si>
  <si>
    <t>R/IN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</si>
</sst>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1E3A5F"/>
      <name val="Calibri"/>
    </font>
    <font>
      <b/>
      <sz val="10"/>
      <color rgb="FF1E3A5F"/>
      <name val="Calibri"/>
    </font>
    <font>
      <b/>
      <sz val="9"/>
      <color rgb="FF1A5276"/>
      <name val="Calibri"/>
    </font>
    <font>
      <b/>
      <sz val="9"/>
      <color rgb="FF1E8449"/>
      <name val="Calibri"/>
    </font>
    <font>
      <b/>
      <sz val="9"/>
      <color rgb="FFFFFFFF"/>
      <name val="Calibri"/>
    </font>
    <font>
      <b/>
      <i/>
      <sz val="9"/>
      <color rgb="FFFFFFFF"/>
      <name val="Calibri"/>
    </font>
    <font>
      <b/>
      <i/>
      <sz val="9"/>
      <color rgb="FF1A5276"/>
      <name val="Calibri"/>
    </font>
    <font>
      <b/>
      <i/>
      <sz val="9"/>
      <color rgb="FF1E8449"/>
      <name val="Calibri"/>
    </font>
    <font>
      <sz val="9"/>
      <name val="Calibri"/>
    </font>
    <font>
      <b/>
      <sz val="9"/>
      <color rgb="FF2471A3"/>
      <name val="Calibri"/>
    </font>
    <font>
      <sz val="11"/>
      <color rgb="FF242424"/>
      <name val="Calibri"/>
      <family val="2"/>
      <scheme val="minor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2D6A9F"/>
      </patternFill>
    </fill>
    <fill>
      <patternFill patternType="solid">
        <fgColor rgb="FFFAFAFA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D0D0D0"/>
      </left>
      <right style="thin">
        <color rgb="FFD0D0D0"/>
      </right>
      <top style="medium">
        <color rgb="FF2D6A9F"/>
      </top>
      <bottom style="medium">
        <color rgb="FF2D6A9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 applyProtection="1">
      <alignment horizontal="right" vertical="center"/>
    </xf>
    <xf numFmtId="0" fontId="0" fillId="3" borderId="1" xfId="0" applyFill="1" applyBorder="1" applyProtection="1"/>
    <xf numFmtId="0" fontId="4" fillId="5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wrapText="1"/>
    </xf>
    <xf numFmtId="0" fontId="6" fillId="7" borderId="1" xfId="0" applyFont="1" applyFill="1" applyBorder="1" applyAlignment="1" applyProtection="1">
      <alignment horizontal="center" vertical="center" wrapText="1"/>
    </xf>
    <xf numFmtId="0" fontId="7" fillId="7" borderId="1" xfId="0" applyFont="1" applyFill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center" vertical="center" wrapText="1"/>
    </xf>
    <xf numFmtId="0" fontId="10" fillId="8" borderId="1" xfId="0" applyFont="1" applyFill="1" applyBorder="1" applyAlignment="1" applyProtection="1">
      <alignment vertical="center"/>
      <protection locked="0"/>
    </xf>
    <xf numFmtId="20" fontId="10" fillId="8" borderId="1" xfId="0" applyNumberFormat="1" applyFont="1" applyFill="1" applyBorder="1" applyAlignment="1" applyProtection="1">
      <alignment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</xf>
    <xf numFmtId="1" fontId="10" fillId="8" borderId="1" xfId="0" applyNumberFormat="1" applyFont="1" applyFill="1" applyBorder="1" applyAlignment="1" applyProtection="1">
      <alignment vertical="center"/>
      <protection locked="0"/>
    </xf>
    <xf numFmtId="1" fontId="11" fillId="3" borderId="1" xfId="0" applyNumberFormat="1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 applyProtection="1">
      <alignment vertical="center"/>
      <protection locked="0"/>
    </xf>
    <xf numFmtId="20" fontId="10" fillId="4" borderId="1" xfId="0" applyNumberFormat="1" applyFont="1" applyFill="1" applyBorder="1" applyAlignment="1" applyProtection="1">
      <alignment vertical="center"/>
      <protection locked="0"/>
    </xf>
    <xf numFmtId="1" fontId="10" fillId="4" borderId="1" xfId="0" applyNumberFormat="1" applyFont="1" applyFill="1" applyBorder="1" applyAlignment="1" applyProtection="1">
      <alignment vertical="center"/>
      <protection locked="0"/>
    </xf>
    <xf numFmtId="0" fontId="2" fillId="9" borderId="3" xfId="0" applyFont="1" applyFill="1" applyBorder="1" applyAlignment="1" applyProtection="1">
      <alignment horizontal="left" vertical="center"/>
    </xf>
    <xf numFmtId="0" fontId="2" fillId="9" borderId="3" xfId="0" applyFont="1" applyFill="1" applyBorder="1" applyAlignment="1" applyProtection="1">
      <alignment horizontal="center" vertical="center"/>
    </xf>
    <xf numFmtId="2" fontId="2" fillId="9" borderId="3" xfId="0" applyNumberFormat="1" applyFont="1" applyFill="1" applyBorder="1" applyAlignment="1" applyProtection="1">
      <alignment horizontal="center" vertical="center"/>
    </xf>
    <xf numFmtId="1" fontId="2" fillId="9" borderId="3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0" fillId="0" borderId="0" xfId="0"/>
    <xf numFmtId="0" fontId="3" fillId="4" borderId="2" xfId="0" applyFont="1" applyFill="1" applyBorder="1" applyAlignment="1" applyProtection="1">
      <alignment horizontal="center" vertical="center"/>
      <protection locked="0"/>
    </xf>
    <xf numFmtId="14" fontId="3" fillId="4" borderId="2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wrapText="1"/>
    </xf>
    <xf numFmtId="0" fontId="10" fillId="8" borderId="1" xfId="0" applyFont="1" applyFill="1" applyBorder="1" applyAlignment="1" applyProtection="1">
      <alignment vertical="center" wrapText="1"/>
      <protection locked="0"/>
    </xf>
    <xf numFmtId="0" fontId="10" fillId="4" borderId="1" xfId="0" applyFont="1" applyFill="1" applyBorder="1" applyAlignment="1" applyProtection="1">
      <alignment vertical="center" wrapText="1"/>
      <protection locked="0"/>
    </xf>
    <xf numFmtId="0" fontId="13" fillId="8" borderId="1" xfId="0" applyFont="1" applyFill="1" applyBorder="1" applyAlignment="1" applyProtection="1">
      <alignment vertical="center"/>
      <protection locked="0"/>
    </xf>
    <xf numFmtId="0" fontId="13" fillId="4" borderId="1" xfId="0" applyFont="1" applyFill="1" applyBorder="1" applyAlignment="1" applyProtection="1">
      <alignment vertical="center" wrapText="1"/>
      <protection locked="0"/>
    </xf>
    <xf numFmtId="0" fontId="13" fillId="8" borderId="1" xfId="0" applyFont="1" applyFill="1" applyBorder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wrapText="1"/>
    </xf>
    <xf numFmtId="0" fontId="12" fillId="0" borderId="0" xfId="0" applyFont="1" applyAlignment="1">
      <alignment wrapText="1"/>
    </xf>
    <xf numFmtId="0" fontId="2" fillId="9" borderId="3" xfId="0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13" fillId="4" borderId="1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5">
    <dxf>
      <font>
        <b/>
        <color rgb="FFFFFFFF"/>
      </font>
      <fill>
        <patternFill patternType="solid">
          <bgColor rgb="FFFF4444"/>
        </patternFill>
      </fill>
    </dxf>
    <dxf>
      <font>
        <b/>
        <color rgb="FFFFFFFF"/>
      </font>
      <fill>
        <patternFill patternType="solid">
          <bgColor rgb="FF00B050"/>
        </patternFill>
      </fill>
    </dxf>
    <dxf>
      <font>
        <b/>
        <color rgb="FF1E8449"/>
      </font>
      <fill>
        <patternFill patternType="solid">
          <bgColor rgb="FFD1FAE5"/>
        </patternFill>
      </fill>
    </dxf>
    <dxf>
      <font>
        <b/>
        <color rgb="FF1A5276"/>
      </font>
      <fill>
        <patternFill patternType="solid">
          <bgColor rgb="FFDBEAFE"/>
        </patternFill>
      </fill>
    </dxf>
    <dxf>
      <font>
        <b/>
        <color rgb="FF7D6608"/>
      </font>
      <fill>
        <patternFill patternType="solid">
          <bgColor rgb="FFFFF3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4</v>
      </c>
    </row>
    <row r="5" spans="1:6" x14ac:dyDescent="0.25">
      <c r="A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C7" t="s">
        <v>34</v>
      </c>
      <c r="D7" t="s">
        <v>35</v>
      </c>
      <c r="F7" t="s">
        <v>36</v>
      </c>
    </row>
    <row r="8" spans="1:6" x14ac:dyDescent="0.25">
      <c r="A8" t="s">
        <v>37</v>
      </c>
      <c r="C8" t="s">
        <v>38</v>
      </c>
      <c r="D8" t="s">
        <v>39</v>
      </c>
      <c r="F8" t="s">
        <v>40</v>
      </c>
    </row>
    <row r="9" spans="1:6" x14ac:dyDescent="0.25">
      <c r="A9" t="s">
        <v>41</v>
      </c>
      <c r="C9" t="s">
        <v>42</v>
      </c>
    </row>
    <row r="10" spans="1:6" x14ac:dyDescent="0.25">
      <c r="A10" t="s">
        <v>43</v>
      </c>
      <c r="C10" t="s">
        <v>44</v>
      </c>
    </row>
    <row r="11" spans="1:6" x14ac:dyDescent="0.25">
      <c r="A11" t="s">
        <v>45</v>
      </c>
      <c r="C11" t="s">
        <v>46</v>
      </c>
    </row>
    <row r="12" spans="1:6" x14ac:dyDescent="0.25">
      <c r="A12" t="s">
        <v>47</v>
      </c>
      <c r="C12" t="s">
        <v>48</v>
      </c>
    </row>
    <row r="13" spans="1:6" x14ac:dyDescent="0.25">
      <c r="A13" t="s">
        <v>49</v>
      </c>
      <c r="C13" t="s">
        <v>50</v>
      </c>
    </row>
    <row r="14" spans="1:6" x14ac:dyDescent="0.25">
      <c r="A14" t="s">
        <v>51</v>
      </c>
      <c r="C14" t="s">
        <v>52</v>
      </c>
    </row>
    <row r="15" spans="1:6" x14ac:dyDescent="0.25">
      <c r="A15" t="s">
        <v>53</v>
      </c>
      <c r="C15" t="s">
        <v>54</v>
      </c>
    </row>
    <row r="16" spans="1:6" x14ac:dyDescent="0.25">
      <c r="C16" t="s">
        <v>55</v>
      </c>
    </row>
    <row r="17" spans="3:3" x14ac:dyDescent="0.25">
      <c r="C17" t="s">
        <v>56</v>
      </c>
    </row>
    <row r="18" spans="3:3" x14ac:dyDescent="0.25">
      <c r="C18" t="s">
        <v>57</v>
      </c>
    </row>
    <row r="19" spans="3:3" x14ac:dyDescent="0.25">
      <c r="C19" t="s">
        <v>58</v>
      </c>
    </row>
    <row r="20" spans="3:3" x14ac:dyDescent="0.25">
      <c r="C20" t="s">
        <v>59</v>
      </c>
    </row>
    <row r="21" spans="3:3" x14ac:dyDescent="0.25">
      <c r="C21" t="s">
        <v>60</v>
      </c>
    </row>
    <row r="22" spans="3:3" x14ac:dyDescent="0.25">
      <c r="C22" t="s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Views>
    <sheetView tabSelected="1" workbookViewId="0">
      <pane ySplit="3" topLeftCell="A4" activePane="bottomLeft" state="frozen"/>
      <selection pane="bottomLeft" activeCell="F5" sqref="F5"/>
    </sheetView>
  </sheetViews>
  <sheetFormatPr defaultRowHeight="15" x14ac:dyDescent="0.25"/>
  <cols>
    <col min="1" max="1" width="16" customWidth="1"/>
    <col min="2" max="2" width="24" customWidth="1"/>
    <col min="3" max="3" width="12" customWidth="1"/>
    <col min="4" max="5" width="10" customWidth="1"/>
    <col min="6" max="6" width="11" customWidth="1"/>
    <col min="7" max="7" width="40" style="35" customWidth="1"/>
    <col min="8" max="8" width="20" customWidth="1"/>
    <col min="9" max="9" width="13" customWidth="1"/>
    <col min="10" max="12" width="10" customWidth="1"/>
    <col min="13" max="13" width="13" customWidth="1"/>
    <col min="14" max="16" width="10" customWidth="1"/>
  </cols>
  <sheetData>
    <row r="1" spans="1:16" ht="30" customHeight="1" x14ac:dyDescent="0.25">
      <c r="A1" s="21" t="s">
        <v>62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4" customHeight="1" x14ac:dyDescent="0.25">
      <c r="A2" s="1" t="s">
        <v>63</v>
      </c>
      <c r="B2" s="23" t="s">
        <v>47</v>
      </c>
      <c r="C2" s="22"/>
      <c r="D2" s="1" t="s">
        <v>64</v>
      </c>
      <c r="E2" s="24">
        <v>46183</v>
      </c>
      <c r="F2" s="22"/>
      <c r="G2" s="32"/>
      <c r="H2" s="2"/>
      <c r="I2" s="25" t="s">
        <v>65</v>
      </c>
      <c r="J2" s="22"/>
      <c r="K2" s="22"/>
      <c r="L2" s="22"/>
      <c r="M2" s="26" t="s">
        <v>66</v>
      </c>
      <c r="N2" s="22"/>
      <c r="O2" s="22"/>
      <c r="P2" s="22"/>
    </row>
    <row r="3" spans="1:16" ht="36" customHeight="1" x14ac:dyDescent="0.25">
      <c r="A3" s="5" t="s">
        <v>67</v>
      </c>
      <c r="B3" s="5" t="s">
        <v>68</v>
      </c>
      <c r="C3" s="5" t="s">
        <v>69</v>
      </c>
      <c r="D3" s="5" t="s">
        <v>70</v>
      </c>
      <c r="E3" s="5" t="s">
        <v>71</v>
      </c>
      <c r="F3" s="6" t="s">
        <v>72</v>
      </c>
      <c r="G3" s="5" t="s">
        <v>73</v>
      </c>
      <c r="H3" s="5" t="s">
        <v>74</v>
      </c>
      <c r="I3" s="3" t="s">
        <v>75</v>
      </c>
      <c r="J3" s="3" t="s">
        <v>76</v>
      </c>
      <c r="K3" s="3" t="s">
        <v>77</v>
      </c>
      <c r="L3" s="7" t="s">
        <v>78</v>
      </c>
      <c r="M3" s="4" t="s">
        <v>79</v>
      </c>
      <c r="N3" s="4" t="s">
        <v>76</v>
      </c>
      <c r="O3" s="4" t="s">
        <v>77</v>
      </c>
      <c r="P3" s="8" t="s">
        <v>78</v>
      </c>
    </row>
    <row r="4" spans="1:16" ht="24" x14ac:dyDescent="0.25">
      <c r="A4" s="29" t="s">
        <v>88</v>
      </c>
      <c r="B4" s="9" t="s">
        <v>2</v>
      </c>
      <c r="C4" s="9" t="s">
        <v>1</v>
      </c>
      <c r="D4" s="10">
        <v>0.25</v>
      </c>
      <c r="E4" s="10">
        <v>0.5</v>
      </c>
      <c r="F4" s="11">
        <f t="shared" ref="F4:F19" si="0">IF(AND(D4&lt;&gt;"",E4&lt;&gt;""),IF(E4&gt;=D4,(E4-D4)*24,(1+E4-D4)*24),"")</f>
        <v>6</v>
      </c>
      <c r="G4" s="27" t="s">
        <v>81</v>
      </c>
      <c r="H4" s="9"/>
      <c r="I4" s="29" t="s">
        <v>89</v>
      </c>
      <c r="J4" s="12">
        <v>1950</v>
      </c>
      <c r="K4" s="12">
        <v>2001</v>
      </c>
      <c r="L4" s="13">
        <f t="shared" ref="L4:L19" si="1">IF(AND(J4&lt;&gt;"",K4&lt;&gt;""),K4-J4,"")</f>
        <v>51</v>
      </c>
      <c r="M4" s="9"/>
      <c r="N4" s="12"/>
      <c r="O4" s="12"/>
      <c r="P4" s="13" t="str">
        <f t="shared" ref="P4:P19" si="2">IF(AND(N4&lt;&gt;"",O4&lt;&gt;""),O4-N4,"")</f>
        <v/>
      </c>
    </row>
    <row r="5" spans="1:16" ht="45" x14ac:dyDescent="0.25">
      <c r="A5" s="29" t="s">
        <v>88</v>
      </c>
      <c r="B5" s="14" t="s">
        <v>20</v>
      </c>
      <c r="C5" s="14" t="s">
        <v>1</v>
      </c>
      <c r="D5" s="15">
        <v>0.5</v>
      </c>
      <c r="E5" s="15">
        <v>0.57291666666666663</v>
      </c>
      <c r="F5" s="11">
        <f t="shared" si="0"/>
        <v>1.7499999999999991</v>
      </c>
      <c r="G5" s="33" t="s">
        <v>82</v>
      </c>
      <c r="H5" s="14"/>
      <c r="I5" s="14"/>
      <c r="J5" s="16"/>
      <c r="K5" s="16"/>
      <c r="L5" s="13" t="str">
        <f t="shared" si="1"/>
        <v/>
      </c>
      <c r="M5" s="14"/>
      <c r="N5" s="16"/>
      <c r="O5" s="16"/>
      <c r="P5" s="13" t="str">
        <f t="shared" si="2"/>
        <v/>
      </c>
    </row>
    <row r="6" spans="1:16" ht="72" x14ac:dyDescent="0.25">
      <c r="A6" s="29" t="s">
        <v>88</v>
      </c>
      <c r="B6" s="29" t="s">
        <v>90</v>
      </c>
      <c r="C6" s="9" t="s">
        <v>1</v>
      </c>
      <c r="D6" s="10">
        <v>0.57291666666666663</v>
      </c>
      <c r="E6" s="10">
        <v>0.75</v>
      </c>
      <c r="F6" s="11">
        <f t="shared" si="0"/>
        <v>4.2500000000000009</v>
      </c>
      <c r="G6" s="31" t="s">
        <v>91</v>
      </c>
      <c r="H6" s="9"/>
      <c r="I6" s="9"/>
      <c r="J6" s="12">
        <v>2001</v>
      </c>
      <c r="K6" s="12">
        <v>1009</v>
      </c>
      <c r="L6" s="13">
        <f t="shared" si="1"/>
        <v>-992</v>
      </c>
      <c r="M6" s="9"/>
      <c r="N6" s="12"/>
      <c r="O6" s="12"/>
      <c r="P6" s="13" t="str">
        <f t="shared" si="2"/>
        <v/>
      </c>
    </row>
    <row r="7" spans="1:16" ht="36" x14ac:dyDescent="0.25">
      <c r="A7" s="29" t="s">
        <v>88</v>
      </c>
      <c r="B7" s="29" t="s">
        <v>90</v>
      </c>
      <c r="C7" s="14" t="s">
        <v>1</v>
      </c>
      <c r="D7" s="15">
        <v>0.75</v>
      </c>
      <c r="E7" s="15">
        <v>0.8125</v>
      </c>
      <c r="F7" s="11">
        <f t="shared" si="0"/>
        <v>1.5</v>
      </c>
      <c r="G7" s="30" t="s">
        <v>84</v>
      </c>
      <c r="H7" s="14"/>
      <c r="I7" s="14"/>
      <c r="J7" s="16">
        <v>1009</v>
      </c>
      <c r="K7" s="16">
        <v>588</v>
      </c>
      <c r="L7" s="13">
        <f t="shared" si="1"/>
        <v>-421</v>
      </c>
      <c r="M7" s="14"/>
      <c r="N7" s="16"/>
      <c r="O7" s="16"/>
      <c r="P7" s="13" t="str">
        <f t="shared" si="2"/>
        <v/>
      </c>
    </row>
    <row r="8" spans="1:16" ht="48" x14ac:dyDescent="0.25">
      <c r="A8" s="29" t="s">
        <v>88</v>
      </c>
      <c r="B8" s="29" t="s">
        <v>92</v>
      </c>
      <c r="C8" s="9" t="s">
        <v>1</v>
      </c>
      <c r="D8" s="10">
        <v>0.8125</v>
      </c>
      <c r="E8" s="10">
        <v>0.97916666666666663</v>
      </c>
      <c r="F8" s="11">
        <f t="shared" si="0"/>
        <v>3.9999999999999991</v>
      </c>
      <c r="G8" s="31" t="s">
        <v>83</v>
      </c>
      <c r="H8" s="9"/>
      <c r="I8" s="9"/>
      <c r="J8" s="12">
        <v>588</v>
      </c>
      <c r="K8" s="12">
        <v>1989</v>
      </c>
      <c r="L8" s="13">
        <f t="shared" si="1"/>
        <v>1401</v>
      </c>
      <c r="M8" s="9"/>
      <c r="N8" s="12"/>
      <c r="O8" s="12"/>
      <c r="P8" s="13" t="str">
        <f t="shared" si="2"/>
        <v/>
      </c>
    </row>
    <row r="9" spans="1:16" ht="36" x14ac:dyDescent="0.25">
      <c r="A9" s="29" t="s">
        <v>88</v>
      </c>
      <c r="B9" s="14" t="s">
        <v>20</v>
      </c>
      <c r="C9" s="14" t="s">
        <v>1</v>
      </c>
      <c r="D9" s="15">
        <v>0.97916666666666663</v>
      </c>
      <c r="E9" s="15">
        <v>7.2916666666666671E-2</v>
      </c>
      <c r="F9" s="11">
        <f t="shared" si="0"/>
        <v>2.2500000000000027</v>
      </c>
      <c r="G9" s="30" t="s">
        <v>85</v>
      </c>
      <c r="H9" s="14"/>
      <c r="I9" s="14"/>
      <c r="J9" s="16"/>
      <c r="K9" s="16"/>
      <c r="L9" s="13" t="str">
        <f t="shared" si="1"/>
        <v/>
      </c>
      <c r="M9" s="14"/>
      <c r="N9" s="16"/>
      <c r="O9" s="16"/>
      <c r="P9" s="13" t="str">
        <f t="shared" si="2"/>
        <v/>
      </c>
    </row>
    <row r="10" spans="1:16" ht="24" x14ac:dyDescent="0.25">
      <c r="A10" s="29" t="s">
        <v>88</v>
      </c>
      <c r="B10" s="29" t="s">
        <v>90</v>
      </c>
      <c r="C10" s="9" t="s">
        <v>1</v>
      </c>
      <c r="D10" s="10">
        <v>7.2916666666666671E-2</v>
      </c>
      <c r="E10" s="10">
        <v>0.15625</v>
      </c>
      <c r="F10" s="11">
        <f t="shared" si="0"/>
        <v>2</v>
      </c>
      <c r="G10" s="31" t="s">
        <v>86</v>
      </c>
      <c r="H10" s="9"/>
      <c r="I10" s="9"/>
      <c r="J10" s="12">
        <v>2001</v>
      </c>
      <c r="K10" s="12">
        <v>1344</v>
      </c>
      <c r="L10" s="13">
        <f t="shared" si="1"/>
        <v>-657</v>
      </c>
      <c r="M10" s="9"/>
      <c r="N10" s="12"/>
      <c r="O10" s="12"/>
      <c r="P10" s="13" t="str">
        <f t="shared" si="2"/>
        <v/>
      </c>
    </row>
    <row r="11" spans="1:16" ht="24" x14ac:dyDescent="0.25">
      <c r="A11" s="29" t="s">
        <v>88</v>
      </c>
      <c r="B11" s="36" t="s">
        <v>92</v>
      </c>
      <c r="C11" s="14" t="s">
        <v>1</v>
      </c>
      <c r="D11" s="15">
        <v>0.15625</v>
      </c>
      <c r="E11" s="15">
        <v>0.25</v>
      </c>
      <c r="F11" s="11">
        <f t="shared" si="0"/>
        <v>2.25</v>
      </c>
      <c r="G11" s="30" t="s">
        <v>87</v>
      </c>
      <c r="H11" s="14"/>
      <c r="I11" s="14"/>
      <c r="J11" s="16">
        <v>1344</v>
      </c>
      <c r="K11" s="16">
        <v>1923</v>
      </c>
      <c r="L11" s="13">
        <f t="shared" si="1"/>
        <v>579</v>
      </c>
      <c r="M11" s="14"/>
      <c r="N11" s="16"/>
      <c r="O11" s="16"/>
      <c r="P11" s="13" t="str">
        <f t="shared" si="2"/>
        <v/>
      </c>
    </row>
    <row r="12" spans="1:16" x14ac:dyDescent="0.25">
      <c r="A12" s="9"/>
      <c r="B12" s="9"/>
      <c r="C12" s="9"/>
      <c r="D12" s="10"/>
      <c r="E12" s="10"/>
      <c r="F12" s="11" t="str">
        <f t="shared" si="0"/>
        <v/>
      </c>
      <c r="G12" s="27"/>
      <c r="H12" s="9"/>
      <c r="I12" s="9"/>
      <c r="J12" s="12"/>
      <c r="K12" s="12"/>
      <c r="L12" s="13" t="str">
        <f t="shared" si="1"/>
        <v/>
      </c>
      <c r="M12" s="9"/>
      <c r="N12" s="12"/>
      <c r="O12" s="12"/>
      <c r="P12" s="13" t="str">
        <f t="shared" si="2"/>
        <v/>
      </c>
    </row>
    <row r="13" spans="1:16" x14ac:dyDescent="0.25">
      <c r="A13" s="14"/>
      <c r="B13" s="14"/>
      <c r="C13" s="14"/>
      <c r="D13" s="15"/>
      <c r="E13" s="15"/>
      <c r="F13" s="11" t="str">
        <f t="shared" si="0"/>
        <v/>
      </c>
      <c r="G13" s="28"/>
      <c r="H13" s="14"/>
      <c r="I13" s="14"/>
      <c r="J13" s="16"/>
      <c r="K13" s="16"/>
      <c r="L13" s="13" t="str">
        <f t="shared" si="1"/>
        <v/>
      </c>
      <c r="M13" s="14"/>
      <c r="N13" s="16"/>
      <c r="O13" s="16"/>
      <c r="P13" s="13" t="str">
        <f t="shared" si="2"/>
        <v/>
      </c>
    </row>
    <row r="14" spans="1:16" x14ac:dyDescent="0.25">
      <c r="A14" s="9"/>
      <c r="B14" s="9"/>
      <c r="C14" s="9"/>
      <c r="D14" s="10"/>
      <c r="E14" s="10"/>
      <c r="F14" s="11" t="str">
        <f t="shared" si="0"/>
        <v/>
      </c>
      <c r="G14" s="27"/>
      <c r="H14" s="9"/>
      <c r="I14" s="9"/>
      <c r="J14" s="12"/>
      <c r="K14" s="12"/>
      <c r="L14" s="13" t="str">
        <f t="shared" si="1"/>
        <v/>
      </c>
      <c r="M14" s="9"/>
      <c r="N14" s="12"/>
      <c r="O14" s="12"/>
      <c r="P14" s="13" t="str">
        <f t="shared" si="2"/>
        <v/>
      </c>
    </row>
    <row r="15" spans="1:16" x14ac:dyDescent="0.25">
      <c r="A15" s="14"/>
      <c r="B15" s="14"/>
      <c r="C15" s="14"/>
      <c r="D15" s="15"/>
      <c r="E15" s="15"/>
      <c r="F15" s="11" t="str">
        <f t="shared" si="0"/>
        <v/>
      </c>
      <c r="G15" s="28"/>
      <c r="H15" s="14"/>
      <c r="I15" s="14"/>
      <c r="J15" s="16"/>
      <c r="K15" s="16"/>
      <c r="L15" s="13" t="str">
        <f t="shared" si="1"/>
        <v/>
      </c>
      <c r="M15" s="14"/>
      <c r="N15" s="16"/>
      <c r="O15" s="16"/>
      <c r="P15" s="13" t="str">
        <f t="shared" si="2"/>
        <v/>
      </c>
    </row>
    <row r="16" spans="1:16" x14ac:dyDescent="0.25">
      <c r="A16" s="9"/>
      <c r="B16" s="9"/>
      <c r="C16" s="9"/>
      <c r="D16" s="10"/>
      <c r="E16" s="10"/>
      <c r="F16" s="11" t="str">
        <f t="shared" si="0"/>
        <v/>
      </c>
      <c r="G16" s="27"/>
      <c r="H16" s="9"/>
      <c r="I16" s="9"/>
      <c r="J16" s="12"/>
      <c r="K16" s="12"/>
      <c r="L16" s="13" t="str">
        <f t="shared" si="1"/>
        <v/>
      </c>
      <c r="M16" s="9"/>
      <c r="N16" s="12"/>
      <c r="O16" s="12"/>
      <c r="P16" s="13" t="str">
        <f t="shared" si="2"/>
        <v/>
      </c>
    </row>
    <row r="17" spans="1:16" x14ac:dyDescent="0.25">
      <c r="A17" s="14"/>
      <c r="B17" s="14"/>
      <c r="C17" s="14"/>
      <c r="D17" s="15"/>
      <c r="E17" s="15"/>
      <c r="F17" s="11" t="str">
        <f t="shared" si="0"/>
        <v/>
      </c>
      <c r="G17" s="28"/>
      <c r="H17" s="14"/>
      <c r="I17" s="14"/>
      <c r="J17" s="16"/>
      <c r="K17" s="16"/>
      <c r="L17" s="13" t="str">
        <f t="shared" si="1"/>
        <v/>
      </c>
      <c r="M17" s="14"/>
      <c r="N17" s="16"/>
      <c r="O17" s="16"/>
      <c r="P17" s="13" t="str">
        <f t="shared" si="2"/>
        <v/>
      </c>
    </row>
    <row r="18" spans="1:16" x14ac:dyDescent="0.25">
      <c r="A18" s="9"/>
      <c r="B18" s="9"/>
      <c r="C18" s="9"/>
      <c r="D18" s="10"/>
      <c r="E18" s="10"/>
      <c r="F18" s="11" t="str">
        <f t="shared" si="0"/>
        <v/>
      </c>
      <c r="G18" s="27"/>
      <c r="H18" s="9"/>
      <c r="I18" s="9"/>
      <c r="J18" s="12"/>
      <c r="K18" s="12"/>
      <c r="L18" s="13" t="str">
        <f t="shared" si="1"/>
        <v/>
      </c>
      <c r="M18" s="9"/>
      <c r="N18" s="12"/>
      <c r="O18" s="12"/>
      <c r="P18" s="13" t="str">
        <f t="shared" si="2"/>
        <v/>
      </c>
    </row>
    <row r="19" spans="1:16" x14ac:dyDescent="0.25">
      <c r="A19" s="14"/>
      <c r="B19" s="14"/>
      <c r="C19" s="14"/>
      <c r="D19" s="15"/>
      <c r="E19" s="15"/>
      <c r="F19" s="11" t="str">
        <f t="shared" si="0"/>
        <v/>
      </c>
      <c r="G19" s="28"/>
      <c r="H19" s="14"/>
      <c r="I19" s="14"/>
      <c r="J19" s="16"/>
      <c r="K19" s="16"/>
      <c r="L19" s="13" t="str">
        <f t="shared" si="1"/>
        <v/>
      </c>
      <c r="M19" s="14"/>
      <c r="N19" s="16"/>
      <c r="O19" s="16"/>
      <c r="P19" s="13" t="str">
        <f t="shared" si="2"/>
        <v/>
      </c>
    </row>
    <row r="20" spans="1:16" ht="21.95" customHeight="1" x14ac:dyDescent="0.25">
      <c r="A20" s="17" t="s">
        <v>80</v>
      </c>
      <c r="B20" s="18"/>
      <c r="C20" s="18"/>
      <c r="D20" s="18"/>
      <c r="E20" s="18"/>
      <c r="F20" s="19">
        <f>SUM(F4:F19)</f>
        <v>24.000000000000004</v>
      </c>
      <c r="G20" s="34"/>
      <c r="H20" s="18"/>
      <c r="I20" s="18"/>
      <c r="J20" s="18"/>
      <c r="K20" s="18"/>
      <c r="L20" s="20">
        <f>SUM(L4:L19)</f>
        <v>-39</v>
      </c>
      <c r="M20" s="18"/>
      <c r="N20" s="18"/>
      <c r="O20" s="18"/>
      <c r="P20" s="20">
        <f>SUM(P4:P19)</f>
        <v>0</v>
      </c>
    </row>
  </sheetData>
  <sheetProtection sheet="1" formatCells="0" formatColumns="0" formatRows="0" sort="0" autoFilter="0"/>
  <mergeCells count="5">
    <mergeCell ref="A1:P1"/>
    <mergeCell ref="B2:C2"/>
    <mergeCell ref="E2:F2"/>
    <mergeCell ref="I2:L2"/>
    <mergeCell ref="M2:P2"/>
  </mergeCells>
  <conditionalFormatting sqref="H4:H19">
    <cfRule type="expression" dxfId="4" priority="1">
      <formula>$B4="08 - Breakdown"</formula>
    </cfRule>
  </conditionalFormatting>
  <conditionalFormatting sqref="I4:K19">
    <cfRule type="expression" dxfId="3" priority="2">
      <formula>$B4="02 - Drilling"</formula>
    </cfRule>
  </conditionalFormatting>
  <conditionalFormatting sqref="M4:O19">
    <cfRule type="expression" dxfId="2" priority="3">
      <formula>$B4="12 - Casing R/in"</formula>
    </cfRule>
  </conditionalFormatting>
  <conditionalFormatting sqref="F20">
    <cfRule type="cellIs" dxfId="1" priority="4" operator="greaterThanOrEqual">
      <formula>24</formula>
    </cfRule>
    <cfRule type="cellIs" dxfId="0" priority="4" operator="lessThan">
      <formula>24</formula>
    </cfRule>
  </conditionalFormatting>
  <pageMargins left="0.7" right="0.7" top="0.75" bottom="0.75" header="0.3" footer="0.3"/>
  <pageSetup paperSize="9" fitToHeight="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xWindow="393" yWindow="718" count="11">
        <x14:dataValidation type="list" errorStyle="warning" allowBlank="1" showInputMessage="1" showErrorMessage="1" errorTitle="Invalid value" error="Please select from the dropdown list." promptTitle="Task Code" prompt="Select the operation task code.">
          <x14:formula1>
            <xm:f>Lists!$C$1:$C$22</xm:f>
          </x14:formula1>
          <xm:sqref>B10:B19</xm:sqref>
        </x14:dataValidation>
        <x14:dataValidation type="list" errorStyle="warning" allowBlank="1" showInputMessage="1" showErrorMessage="1" errorTitle="Invalid Rig" error="Select a rig from the list." promptTitle="Rig Name" prompt="Select rig.">
          <x14:formula1>
            <xm:f>Lists!$A$1:$A$15</xm:f>
          </x14:formula1>
          <xm:sqref>B2</xm:sqref>
        </x14:dataValidation>
        <x14:dataValidation type="list" errorStyle="warning" allowBlank="1" showInputMessage="1" showErrorMessage="1" errorTitle="Invalid value" error="Please select from the dropdown list." promptTitle="Task Code" prompt="Select the operation task code.">
          <x14:formula1>
            <xm:f>Lists!$C$1:$C$22</xm:f>
          </x14:formula1>
          <xm:sqref>B4:B19</xm:sqref>
        </x14:dataValidation>
        <x14:dataValidation type="list" errorStyle="warning" allowBlank="1" showInputMessage="1" showErrorMessage="1" errorTitle="Invalid value" error="Please select from the dropdown list." promptTitle="Work Type" prompt="R1=Productive  R2=Non-Productive  R3=Breakdown  ILM=Inter Location Movement">
          <x14:formula1>
            <xm:f>Lists!$B$1:$B$4</xm:f>
          </x14:formula1>
          <xm:sqref>C10:C19</xm:sqref>
        </x14:dataValidation>
        <x14:dataValidation type="list" errorStyle="warning" allowBlank="1" showInputMessage="1" showErrorMessage="1" errorTitle="Invalid value" error="Please select from the dropdown list." promptTitle="Work Type" prompt="R1=Productive  R2=Non-Productive  R3=Breakdown  ILM=Inter Location Movement">
          <x14:formula1>
            <xm:f>Lists!$B$1:$B$4</xm:f>
          </x14:formula1>
          <xm:sqref>C4:C19</xm:sqref>
        </x14:dataValidation>
        <x14:dataValidation type="list" errorStyle="warning" allowBlank="1" showInputMessage="1" showErrorMessage="1" errorTitle="Equipment" error="Select from list, or type a custom equipment name for Others." promptTitle="Breakdown Equipment" prompt="Select from list. If &quot;Others&quot;, you may type the specific name directly in this cell.">
          <x14:formula1>
            <xm:f>Lists!$D$1:$D$8</xm:f>
          </x14:formula1>
          <xm:sqref>H10:H19</xm:sqref>
        </x14:dataValidation>
        <x14:dataValidation type="list" errorStyle="warning" allowBlank="1" showInputMessage="1" showErrorMessage="1" errorTitle="Equipment" error="Select from list, or type a custom equipment name for Others." promptTitle="Breakdown Equipment" prompt="Select from list. If &quot;Others&quot;, you may type the specific name directly in this cell.">
          <x14:formula1>
            <xm:f>Lists!$D$1:$D$8</xm:f>
          </x14:formula1>
          <xm:sqref>H4:H19</xm:sqref>
        </x14:dataValidation>
        <x14:dataValidation type="list" errorStyle="warning" allowBlank="1" showInputMessage="1" showErrorMessage="1" errorTitle="Invalid value" error="Please select from the dropdown list." promptTitle="Hole Size" prompt="Fill only for 02 - Drilling.">
          <x14:formula1>
            <xm:f>Lists!$E$1:$E$6</xm:f>
          </x14:formula1>
          <xm:sqref>I10:I19</xm:sqref>
        </x14:dataValidation>
        <x14:dataValidation type="list" errorStyle="warning" allowBlank="1" showInputMessage="1" showErrorMessage="1" errorTitle="Invalid value" error="Please select from the dropdown list." promptTitle="Hole Size" prompt="Fill only for 02 - Drilling.">
          <x14:formula1>
            <xm:f>Lists!$E$1:$E$6</xm:f>
          </x14:formula1>
          <xm:sqref>I4:I19</xm:sqref>
        </x14:dataValidation>
        <x14:dataValidation type="list" errorStyle="warning" allowBlank="1" showInputMessage="1" showErrorMessage="1" errorTitle="Invalid value" error="Please select from the dropdown list." promptTitle="Casing Size" prompt="Fill only for 12 - Casing R/in.">
          <x14:formula1>
            <xm:f>Lists!$F$1:$F$8</xm:f>
          </x14:formula1>
          <xm:sqref>M10:M19</xm:sqref>
        </x14:dataValidation>
        <x14:dataValidation type="list" errorStyle="warning" allowBlank="1" showInputMessage="1" showErrorMessage="1" errorTitle="Invalid value" error="Please select from the dropdown list." promptTitle="Casing Size" prompt="Fill only for 12 - Casing R/in.">
          <x14:formula1>
            <xm:f>Lists!$F$1:$F$8</xm:f>
          </x14:formula1>
          <xm:sqref>M4:M19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2026-06-10T11:01:32Z</dcterms:created>
  <dcterms:modified xsi:type="dcterms:W3CDTF">2026-06-11T13:14:23Z</dcterms:modified>
  <cp:category/>
</cp:coreProperties>
</file>