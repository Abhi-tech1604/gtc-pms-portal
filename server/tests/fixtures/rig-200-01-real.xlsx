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3005" activeTab="18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externalReferences>
    <externalReference r:id="rId32"/>
  </externalReferences>
  <calcPr calcId="152511"/>
</workbook>
</file>

<file path=xl/calcChain.xml><?xml version="1.0" encoding="utf-8"?>
<calcChain xmlns="http://schemas.openxmlformats.org/spreadsheetml/2006/main">
  <c r="K31" i="19" l="1"/>
  <c r="J31" i="19"/>
  <c r="L31" i="19" s="1"/>
  <c r="N31" i="19" s="1"/>
  <c r="P31" i="19" s="1"/>
  <c r="K30" i="19"/>
  <c r="J30" i="19"/>
  <c r="L30" i="19" s="1"/>
  <c r="N30" i="19" s="1"/>
  <c r="P30" i="19" s="1"/>
  <c r="K29" i="19"/>
  <c r="J29" i="19"/>
  <c r="L29" i="19" s="1"/>
  <c r="N29" i="19" s="1"/>
  <c r="P29" i="19" s="1"/>
  <c r="K28" i="19"/>
  <c r="J28" i="19"/>
  <c r="L28" i="19" s="1"/>
  <c r="N28" i="19" s="1"/>
  <c r="P28" i="19" s="1"/>
</calcChain>
</file>

<file path=xl/sharedStrings.xml><?xml version="1.0" encoding="utf-8"?>
<sst xmlns="http://schemas.openxmlformats.org/spreadsheetml/2006/main" count="1773" uniqueCount="107">
  <si>
    <t>Rig No:</t>
  </si>
  <si>
    <t>Rig 200-01</t>
  </si>
  <si>
    <t>Daily Mechanical Report</t>
  </si>
  <si>
    <t>Date:</t>
  </si>
  <si>
    <t>01-08-2026</t>
  </si>
  <si>
    <t>Well No:</t>
  </si>
  <si>
    <t>PLAN</t>
  </si>
  <si>
    <t>Diesel Engines</t>
  </si>
  <si>
    <t>Sr No</t>
  </si>
  <si>
    <t>Equipment</t>
  </si>
  <si>
    <t>Make/Model</t>
  </si>
  <si>
    <t>M/C Serial No</t>
  </si>
  <si>
    <t>Is in Use</t>
  </si>
  <si>
    <t>Hours Run</t>
  </si>
  <si>
    <t>Lube Oil Pressure</t>
  </si>
  <si>
    <t>Lube Oil Added</t>
  </si>
  <si>
    <t>Opning Running HRS</t>
  </si>
  <si>
    <t>Total Run Hours</t>
  </si>
  <si>
    <t>Closing HRS</t>
  </si>
  <si>
    <t>Last Service Hours</t>
  </si>
  <si>
    <t>Running HRS after last service</t>
  </si>
  <si>
    <t>Define hours</t>
  </si>
  <si>
    <t>Hours Remaining For Next Service.</t>
  </si>
  <si>
    <t>Preventive /Predictive Maintenance Details</t>
  </si>
  <si>
    <t>Remarks</t>
  </si>
  <si>
    <t>Last Service Date</t>
  </si>
  <si>
    <t>Yes/No</t>
  </si>
  <si>
    <t>DAY</t>
  </si>
  <si>
    <t>NIGHT</t>
  </si>
  <si>
    <t>psi/bar</t>
  </si>
  <si>
    <t>Liters</t>
  </si>
  <si>
    <t>Generator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</si>
  <si>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</si>
  <si>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</si>
  <si>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</si>
  <si>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</si>
  <si>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</si>
  <si>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</si>
  <si>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</si>
  <si>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</si>
  <si>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</si>
  <si>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</si>
  <si>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</si>
  <si>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</si>
  <si>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</si>
  <si>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</si>
  <si>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</si>
  <si>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</si>
  <si>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</si>
  <si>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</si>
  <si>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</si>
  <si>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</si>
  <si>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</si>
  <si>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</si>
  <si>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</si>
  <si>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</si>
  <si>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</si>
  <si>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</si>
  <si>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</si>
  <si>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</si>
  <si>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</si>
  <si>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</si>
  <si>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Rig Engine 1</t>
  </si>
  <si>
    <t>CAT/C-18</t>
  </si>
  <si>
    <t>WJW00271</t>
  </si>
  <si>
    <t>YES</t>
  </si>
  <si>
    <t>Rig Carrier Transmission 1</t>
  </si>
  <si>
    <t xml:space="preserve">Allision Transmission / </t>
  </si>
  <si>
    <t>Rig Engine 2</t>
  </si>
  <si>
    <t>WJW00272</t>
  </si>
  <si>
    <t>Rig Engine Transmission 2</t>
  </si>
  <si>
    <t xml:space="preserve">Allision Transmission </t>
  </si>
  <si>
    <t>Mud Pump Engine 1</t>
  </si>
  <si>
    <t>CATERPILLER/C32</t>
  </si>
  <si>
    <t>TLDO1455</t>
  </si>
  <si>
    <t>Mud pump transmission-1</t>
  </si>
  <si>
    <t>GUIZHOU WINSTAR</t>
  </si>
  <si>
    <t>BY920B</t>
  </si>
  <si>
    <t>Mud Pump Engine 2</t>
  </si>
  <si>
    <t>TLDO1456</t>
  </si>
  <si>
    <t>Mud pump transmission-2</t>
  </si>
  <si>
    <t>Air Compressor Engine-1</t>
  </si>
  <si>
    <t>Ingersoll Rand/UP5-37-10PE</t>
  </si>
  <si>
    <t>Air Compressor Engine-2</t>
  </si>
  <si>
    <t>Cold start compressor engine</t>
  </si>
  <si>
    <t>Parth/PE-150T</t>
  </si>
  <si>
    <t>NO</t>
  </si>
  <si>
    <t>Rig Site Fire Pump Engine</t>
  </si>
  <si>
    <t>Kirloskar / 
DB100/40XE</t>
  </si>
  <si>
    <t>1A725230084</t>
  </si>
  <si>
    <t>Lighting Tower Genset Engine 1</t>
  </si>
  <si>
    <t>ASHOK LEYLAND/AL2CDG1</t>
  </si>
  <si>
    <t>KCEM206156</t>
  </si>
  <si>
    <t>WELDING MACHINE DG SET</t>
  </si>
  <si>
    <t>ADOR</t>
  </si>
  <si>
    <t>26/19050020</t>
  </si>
  <si>
    <t>CUMMINS -DG 625KVA</t>
  </si>
  <si>
    <t>Rig Site Generator Set 1, 500 KVA</t>
  </si>
  <si>
    <t>CUMMINS/KTA-19-G9</t>
  </si>
  <si>
    <t>Rig Site Generator Set 2, 500 KVA</t>
  </si>
  <si>
    <t>Yes</t>
  </si>
  <si>
    <t>Rig Site Generator Set 2, 500 KVA CAT</t>
  </si>
  <si>
    <t>CAT-1</t>
  </si>
  <si>
    <t>FTH05473</t>
  </si>
  <si>
    <t>Rig Site Generator Set 1, 500 KVA CAT</t>
  </si>
  <si>
    <t>CAT-2</t>
  </si>
  <si>
    <t>FTH05469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</si>
</sst>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u/>
      <sz val="14"/>
      <name val="Arial"/>
    </font>
    <font>
      <b/>
      <sz val="11"/>
      <name val="Arial"/>
    </font>
    <font>
      <b/>
      <sz val="9"/>
      <name val="Arial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DDEBF7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5" borderId="1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6" fillId="6" borderId="16" xfId="0" applyFont="1" applyFill="1" applyBorder="1" applyAlignment="1" applyProtection="1">
      <alignment horizontal="center" vertical="center" wrapText="1"/>
      <protection locked="0"/>
    </xf>
    <xf numFmtId="0" fontId="6" fillId="6" borderId="3" xfId="0" applyFont="1" applyFill="1" applyBorder="1" applyAlignment="1" applyProtection="1">
      <alignment horizontal="center" vertical="center" wrapText="1"/>
      <protection locked="0"/>
    </xf>
    <xf numFmtId="0" fontId="8" fillId="5" borderId="19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 applyProtection="1">
      <alignment horizontal="center" vertical="center" wrapText="1"/>
      <protection locked="0"/>
    </xf>
    <xf numFmtId="0" fontId="9" fillId="6" borderId="14" xfId="0" applyFont="1" applyFill="1" applyBorder="1" applyAlignment="1" applyProtection="1">
      <alignment horizontal="center" vertical="center" wrapText="1"/>
      <protection locked="0"/>
    </xf>
    <xf numFmtId="0" fontId="9" fillId="6" borderId="16" xfId="0" applyFont="1" applyFill="1" applyBorder="1" applyAlignment="1" applyProtection="1">
      <alignment horizontal="center" vertical="center" wrapText="1"/>
      <protection locked="0"/>
    </xf>
    <xf numFmtId="0" fontId="0" fillId="6" borderId="20" xfId="0" applyFont="1" applyFill="1" applyBorder="1" applyAlignment="1" applyProtection="1">
      <alignment vertical="center" wrapText="1"/>
      <protection locked="0"/>
    </xf>
    <xf numFmtId="0" fontId="0" fillId="0" borderId="0" xfId="0" applyFont="1"/>
    <xf numFmtId="0" fontId="5" fillId="5" borderId="5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 applyProtection="1">
      <alignment horizontal="center" vertical="center" wrapText="1"/>
      <protection locked="0"/>
    </xf>
    <xf numFmtId="0" fontId="9" fillId="6" borderId="2" xfId="0" applyFont="1" applyFill="1" applyBorder="1" applyAlignment="1" applyProtection="1">
      <alignment horizontal="center" vertical="center" wrapText="1"/>
      <protection locked="0"/>
    </xf>
    <xf numFmtId="0" fontId="0" fillId="6" borderId="9" xfId="0" applyFont="1" applyFill="1" applyBorder="1" applyAlignment="1" applyProtection="1">
      <alignment vertical="center" wrapText="1"/>
      <protection locked="0"/>
    </xf>
    <xf numFmtId="0" fontId="6" fillId="6" borderId="2" xfId="0" applyFont="1" applyFill="1" applyBorder="1" applyAlignment="1" applyProtection="1">
      <alignment horizontal="center" vertical="center" wrapText="1"/>
      <protection locked="0"/>
    </xf>
    <xf numFmtId="0" fontId="10" fillId="6" borderId="8" xfId="0" applyFont="1" applyFill="1" applyBorder="1" applyAlignment="1" applyProtection="1">
      <alignment horizontal="center" vertical="center" wrapText="1"/>
      <protection locked="0"/>
    </xf>
    <xf numFmtId="0" fontId="11" fillId="6" borderId="2" xfId="0" applyFont="1" applyFill="1" applyBorder="1" applyAlignment="1" applyProtection="1">
      <alignment horizontal="center" vertical="center" wrapText="1"/>
      <protection locked="0"/>
    </xf>
    <xf numFmtId="0" fontId="5" fillId="5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/>
    </xf>
    <xf numFmtId="0" fontId="6" fillId="6" borderId="12" xfId="0" applyFont="1" applyFill="1" applyBorder="1" applyAlignment="1" applyProtection="1">
      <alignment horizontal="center" vertical="center" wrapText="1"/>
      <protection locked="0"/>
    </xf>
    <xf numFmtId="0" fontId="8" fillId="5" borderId="6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 applyProtection="1">
      <alignment horizontal="center" vertical="center" wrapText="1"/>
      <protection locked="0"/>
    </xf>
    <xf numFmtId="0" fontId="11" fillId="6" borderId="12" xfId="0" applyFont="1" applyFill="1" applyBorder="1" applyAlignment="1" applyProtection="1">
      <alignment horizontal="center" vertical="center" wrapText="1"/>
      <protection locked="0"/>
    </xf>
    <xf numFmtId="0" fontId="0" fillId="6" borderId="18" xfId="0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3.%20MECHANICAL%20LOG%20SHEET%20-%20AUGUST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8">
          <cell r="L28">
            <v>26091</v>
          </cell>
        </row>
        <row r="29">
          <cell r="L29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32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33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34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35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36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37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38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39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40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41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42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43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44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45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46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47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48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topLeftCell="D1" zoomScaleNormal="100" workbookViewId="0">
      <selection activeCell="I18" sqref="I18"/>
    </sheetView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49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25">
      <c r="A6">
        <v>1</v>
      </c>
      <c r="B6" t="s">
        <v>62</v>
      </c>
      <c r="C6" t="s">
        <v>63</v>
      </c>
      <c r="D6" t="s">
        <v>64</v>
      </c>
      <c r="E6" t="s">
        <v>65</v>
      </c>
      <c r="F6">
        <v>12</v>
      </c>
      <c r="G6">
        <v>0</v>
      </c>
      <c r="H6">
        <v>0</v>
      </c>
      <c r="I6">
        <v>0</v>
      </c>
      <c r="J6">
        <v>2188</v>
      </c>
      <c r="K6">
        <v>12</v>
      </c>
      <c r="L6">
        <v>2200</v>
      </c>
      <c r="M6">
        <v>1722</v>
      </c>
      <c r="N6">
        <v>478</v>
      </c>
      <c r="O6">
        <v>500</v>
      </c>
      <c r="P6">
        <v>22</v>
      </c>
    </row>
    <row r="7" spans="1:19" x14ac:dyDescent="0.25">
      <c r="A7">
        <v>2</v>
      </c>
      <c r="B7" t="s">
        <v>66</v>
      </c>
      <c r="C7" t="s">
        <v>67</v>
      </c>
      <c r="D7">
        <v>29537421</v>
      </c>
      <c r="E7" t="s">
        <v>65</v>
      </c>
      <c r="F7">
        <v>12</v>
      </c>
      <c r="G7">
        <v>0</v>
      </c>
      <c r="H7">
        <v>0</v>
      </c>
      <c r="I7">
        <v>0</v>
      </c>
      <c r="J7">
        <v>18657</v>
      </c>
      <c r="K7">
        <v>12</v>
      </c>
      <c r="L7">
        <v>18669</v>
      </c>
      <c r="M7">
        <v>17972</v>
      </c>
      <c r="N7">
        <v>697</v>
      </c>
      <c r="O7">
        <v>1000</v>
      </c>
      <c r="P7">
        <v>303</v>
      </c>
    </row>
    <row r="8" spans="1:19" x14ac:dyDescent="0.25">
      <c r="A8">
        <v>3</v>
      </c>
      <c r="B8" t="s">
        <v>68</v>
      </c>
      <c r="C8" t="s">
        <v>63</v>
      </c>
      <c r="D8" t="s">
        <v>69</v>
      </c>
      <c r="E8" t="s">
        <v>65</v>
      </c>
      <c r="F8">
        <v>0</v>
      </c>
      <c r="G8">
        <v>10</v>
      </c>
      <c r="H8">
        <v>0</v>
      </c>
      <c r="I8">
        <v>0</v>
      </c>
      <c r="J8">
        <v>19571</v>
      </c>
      <c r="K8">
        <v>10</v>
      </c>
      <c r="L8">
        <v>19581</v>
      </c>
      <c r="M8">
        <v>19031</v>
      </c>
      <c r="N8">
        <v>550</v>
      </c>
      <c r="O8">
        <v>500</v>
      </c>
      <c r="P8">
        <v>-50</v>
      </c>
    </row>
    <row r="9" spans="1:19" x14ac:dyDescent="0.25">
      <c r="A9">
        <v>4</v>
      </c>
      <c r="B9" t="s">
        <v>70</v>
      </c>
      <c r="C9" t="s">
        <v>71</v>
      </c>
      <c r="D9">
        <v>29537421</v>
      </c>
      <c r="E9" t="s">
        <v>65</v>
      </c>
      <c r="F9">
        <v>0</v>
      </c>
      <c r="G9">
        <v>10</v>
      </c>
      <c r="H9">
        <v>0</v>
      </c>
      <c r="I9">
        <v>0</v>
      </c>
      <c r="J9">
        <v>19481</v>
      </c>
      <c r="K9">
        <v>10</v>
      </c>
      <c r="L9">
        <v>19491</v>
      </c>
      <c r="M9">
        <v>18493</v>
      </c>
      <c r="N9">
        <v>998</v>
      </c>
      <c r="O9">
        <v>1000</v>
      </c>
      <c r="P9">
        <v>2</v>
      </c>
    </row>
    <row r="10" spans="1:19" x14ac:dyDescent="0.25">
      <c r="A10">
        <v>5</v>
      </c>
      <c r="B10" t="s">
        <v>72</v>
      </c>
      <c r="C10" t="s">
        <v>73</v>
      </c>
      <c r="D10" t="s">
        <v>74</v>
      </c>
      <c r="E10" t="s">
        <v>65</v>
      </c>
      <c r="F10">
        <v>4</v>
      </c>
      <c r="G10">
        <v>12</v>
      </c>
      <c r="H10">
        <v>0</v>
      </c>
      <c r="I10">
        <v>0</v>
      </c>
      <c r="J10">
        <v>12259</v>
      </c>
      <c r="K10">
        <v>16</v>
      </c>
      <c r="L10">
        <v>12275</v>
      </c>
      <c r="M10">
        <v>11719</v>
      </c>
      <c r="N10">
        <v>556</v>
      </c>
      <c r="O10">
        <v>500</v>
      </c>
      <c r="P10">
        <v>-56</v>
      </c>
    </row>
    <row r="11" spans="1:19" x14ac:dyDescent="0.25">
      <c r="A11">
        <v>6</v>
      </c>
      <c r="B11" t="s">
        <v>75</v>
      </c>
      <c r="C11" t="s">
        <v>76</v>
      </c>
      <c r="D11" t="s">
        <v>77</v>
      </c>
      <c r="E11" t="s">
        <v>65</v>
      </c>
      <c r="F11">
        <v>4</v>
      </c>
      <c r="G11">
        <v>12</v>
      </c>
      <c r="H11">
        <v>0</v>
      </c>
      <c r="I11">
        <v>0</v>
      </c>
      <c r="J11">
        <v>4291</v>
      </c>
      <c r="K11">
        <v>16</v>
      </c>
      <c r="L11">
        <v>4307</v>
      </c>
      <c r="M11">
        <v>3569</v>
      </c>
      <c r="N11">
        <v>738</v>
      </c>
      <c r="O11">
        <v>1000</v>
      </c>
      <c r="P11">
        <v>262</v>
      </c>
    </row>
    <row r="12" spans="1:19" x14ac:dyDescent="0.25">
      <c r="A12">
        <v>7</v>
      </c>
      <c r="B12" t="s">
        <v>78</v>
      </c>
      <c r="C12" t="s">
        <v>73</v>
      </c>
      <c r="D12" t="s">
        <v>79</v>
      </c>
      <c r="E12" t="s">
        <v>65</v>
      </c>
      <c r="F12">
        <v>4</v>
      </c>
      <c r="G12">
        <v>12</v>
      </c>
      <c r="H12">
        <v>0</v>
      </c>
      <c r="I12">
        <v>0</v>
      </c>
      <c r="J12">
        <v>7749</v>
      </c>
      <c r="K12">
        <v>16</v>
      </c>
      <c r="L12">
        <v>7765</v>
      </c>
      <c r="M12">
        <v>7371</v>
      </c>
      <c r="N12">
        <v>394</v>
      </c>
      <c r="O12">
        <v>500</v>
      </c>
      <c r="P12">
        <v>106</v>
      </c>
    </row>
    <row r="13" spans="1:19" x14ac:dyDescent="0.25">
      <c r="A13">
        <v>8</v>
      </c>
      <c r="B13" t="s">
        <v>80</v>
      </c>
      <c r="C13" t="s">
        <v>76</v>
      </c>
      <c r="D13" t="s">
        <v>77</v>
      </c>
      <c r="E13" t="s">
        <v>65</v>
      </c>
      <c r="F13">
        <v>4</v>
      </c>
      <c r="G13">
        <v>12</v>
      </c>
      <c r="H13">
        <v>0</v>
      </c>
      <c r="I13">
        <v>0</v>
      </c>
      <c r="J13">
        <v>4463</v>
      </c>
      <c r="K13">
        <v>16</v>
      </c>
      <c r="L13">
        <v>4479</v>
      </c>
      <c r="M13">
        <v>4372</v>
      </c>
      <c r="N13">
        <v>107</v>
      </c>
      <c r="O13">
        <v>1000</v>
      </c>
      <c r="P13">
        <v>893</v>
      </c>
    </row>
    <row r="14" spans="1:19" x14ac:dyDescent="0.25">
      <c r="A14">
        <v>9</v>
      </c>
      <c r="B14" t="s">
        <v>81</v>
      </c>
      <c r="C14" t="s">
        <v>82</v>
      </c>
      <c r="D14">
        <v>21271771</v>
      </c>
      <c r="E14" t="s">
        <v>65</v>
      </c>
      <c r="F14">
        <v>12</v>
      </c>
      <c r="G14">
        <v>0</v>
      </c>
      <c r="H14">
        <v>0</v>
      </c>
      <c r="I14">
        <v>0</v>
      </c>
      <c r="J14">
        <v>4316</v>
      </c>
      <c r="K14">
        <v>12</v>
      </c>
      <c r="L14">
        <v>4328</v>
      </c>
      <c r="M14">
        <v>2551</v>
      </c>
      <c r="N14">
        <v>1777</v>
      </c>
      <c r="O14">
        <v>1500</v>
      </c>
      <c r="P14">
        <v>-277</v>
      </c>
    </row>
    <row r="15" spans="1:19" x14ac:dyDescent="0.25">
      <c r="A15">
        <v>10</v>
      </c>
      <c r="B15" t="s">
        <v>83</v>
      </c>
      <c r="C15" t="s">
        <v>82</v>
      </c>
      <c r="D15">
        <v>21271768</v>
      </c>
      <c r="E15" t="s">
        <v>65</v>
      </c>
      <c r="F15">
        <v>0</v>
      </c>
      <c r="G15">
        <v>12</v>
      </c>
      <c r="H15">
        <v>0</v>
      </c>
      <c r="I15">
        <v>0</v>
      </c>
      <c r="J15">
        <v>3972</v>
      </c>
      <c r="K15">
        <v>12</v>
      </c>
      <c r="L15">
        <v>3984</v>
      </c>
      <c r="M15">
        <v>3636</v>
      </c>
      <c r="N15">
        <v>348</v>
      </c>
      <c r="O15">
        <v>1500</v>
      </c>
      <c r="P15">
        <v>1152</v>
      </c>
    </row>
    <row r="16" spans="1:19" x14ac:dyDescent="0.25">
      <c r="A16">
        <v>11</v>
      </c>
      <c r="B16" t="s">
        <v>84</v>
      </c>
      <c r="C16" t="s">
        <v>85</v>
      </c>
      <c r="D16">
        <v>112591</v>
      </c>
      <c r="E16" t="s">
        <v>86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1500</v>
      </c>
      <c r="P16">
        <v>1500</v>
      </c>
    </row>
    <row r="17" spans="1:19" ht="30" x14ac:dyDescent="0.25">
      <c r="A17">
        <v>12</v>
      </c>
      <c r="B17" t="s">
        <v>87</v>
      </c>
      <c r="C17" s="8" t="s">
        <v>88</v>
      </c>
      <c r="D17" t="s">
        <v>89</v>
      </c>
      <c r="E17" t="s">
        <v>86</v>
      </c>
      <c r="F17">
        <v>0</v>
      </c>
      <c r="G17">
        <v>0</v>
      </c>
      <c r="H17">
        <v>0</v>
      </c>
      <c r="I17">
        <v>0</v>
      </c>
      <c r="J17">
        <v>59</v>
      </c>
      <c r="K17">
        <v>0</v>
      </c>
      <c r="L17">
        <v>59</v>
      </c>
      <c r="N17">
        <v>59</v>
      </c>
      <c r="O17">
        <v>1500</v>
      </c>
      <c r="P17">
        <v>1441</v>
      </c>
    </row>
    <row r="18" spans="1:19" x14ac:dyDescent="0.25">
      <c r="A18">
        <v>13</v>
      </c>
      <c r="B18" t="s">
        <v>90</v>
      </c>
      <c r="C18" t="s">
        <v>91</v>
      </c>
      <c r="D18" t="s">
        <v>92</v>
      </c>
      <c r="E18" t="s">
        <v>86</v>
      </c>
      <c r="F18">
        <v>0</v>
      </c>
      <c r="G18">
        <v>0</v>
      </c>
      <c r="H18">
        <v>0</v>
      </c>
      <c r="I18">
        <v>0</v>
      </c>
      <c r="J18">
        <v>130</v>
      </c>
      <c r="K18">
        <v>0</v>
      </c>
      <c r="L18">
        <v>130</v>
      </c>
      <c r="N18">
        <v>130</v>
      </c>
      <c r="O18">
        <v>500</v>
      </c>
      <c r="P18">
        <v>370</v>
      </c>
    </row>
    <row r="19" spans="1:19" x14ac:dyDescent="0.25">
      <c r="A19">
        <v>14</v>
      </c>
      <c r="B19" t="s">
        <v>93</v>
      </c>
      <c r="C19" t="s">
        <v>94</v>
      </c>
      <c r="D19" t="s">
        <v>95</v>
      </c>
      <c r="E19" t="s">
        <v>86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O19">
        <v>500</v>
      </c>
      <c r="P19">
        <v>500</v>
      </c>
    </row>
    <row r="20" spans="1:19" x14ac:dyDescent="0.25">
      <c r="A20">
        <v>15</v>
      </c>
      <c r="B20" t="s">
        <v>96</v>
      </c>
      <c r="D20" t="s">
        <v>65</v>
      </c>
      <c r="E20" t="s">
        <v>65</v>
      </c>
      <c r="F20">
        <v>0</v>
      </c>
      <c r="G20">
        <v>12</v>
      </c>
      <c r="H20">
        <v>0</v>
      </c>
      <c r="I20">
        <v>0</v>
      </c>
      <c r="J20">
        <v>48</v>
      </c>
      <c r="K20">
        <v>12</v>
      </c>
      <c r="L20">
        <v>60</v>
      </c>
      <c r="N20">
        <v>60</v>
      </c>
      <c r="O20">
        <v>500</v>
      </c>
      <c r="P20">
        <v>440</v>
      </c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thickBot="1" x14ac:dyDescent="0.3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s="21" customFormat="1" ht="30.75" thickBot="1" x14ac:dyDescent="0.3">
      <c r="A28" s="9">
        <v>1</v>
      </c>
      <c r="B28" s="10" t="s">
        <v>97</v>
      </c>
      <c r="C28" s="11" t="s">
        <v>98</v>
      </c>
      <c r="D28" s="12">
        <v>25375818</v>
      </c>
      <c r="E28" s="13" t="s">
        <v>86</v>
      </c>
      <c r="F28" s="13">
        <v>0</v>
      </c>
      <c r="G28" s="13">
        <v>0</v>
      </c>
      <c r="H28" s="14">
        <v>0</v>
      </c>
      <c r="I28" s="14">
        <v>0</v>
      </c>
      <c r="J28" s="15">
        <f>'[1]18'!L28</f>
        <v>26091</v>
      </c>
      <c r="K28" s="16">
        <f t="shared" ref="K28:K31" si="0">F28+G28</f>
        <v>0</v>
      </c>
      <c r="L28" s="16">
        <f>J28+K28</f>
        <v>26091</v>
      </c>
      <c r="M28" s="17">
        <v>4836</v>
      </c>
      <c r="N28" s="16">
        <f t="shared" ref="N28:N31" si="1">L28-M28</f>
        <v>21255</v>
      </c>
      <c r="O28" s="16">
        <v>500</v>
      </c>
      <c r="P28" s="16">
        <f t="shared" ref="P28:P31" si="2">O28-N28</f>
        <v>-20755</v>
      </c>
      <c r="Q28" s="18"/>
      <c r="R28" s="19"/>
      <c r="S28" s="20"/>
    </row>
    <row r="29" spans="1:19" s="21" customFormat="1" ht="30.75" thickBot="1" x14ac:dyDescent="0.3">
      <c r="A29" s="22">
        <v>2</v>
      </c>
      <c r="B29" s="23" t="s">
        <v>99</v>
      </c>
      <c r="C29" s="24" t="s">
        <v>98</v>
      </c>
      <c r="D29" s="25">
        <v>25375817</v>
      </c>
      <c r="E29" s="13" t="s">
        <v>100</v>
      </c>
      <c r="F29" s="13">
        <v>12</v>
      </c>
      <c r="G29" s="13">
        <v>0</v>
      </c>
      <c r="H29" s="14">
        <v>0</v>
      </c>
      <c r="I29" s="14">
        <v>0</v>
      </c>
      <c r="J29" s="15">
        <f>'[1]18'!L29</f>
        <v>0</v>
      </c>
      <c r="K29" s="16">
        <f t="shared" si="0"/>
        <v>12</v>
      </c>
      <c r="L29" s="16">
        <f t="shared" ref="L29:L31" si="3">J29+K29</f>
        <v>12</v>
      </c>
      <c r="M29" s="17">
        <v>8614</v>
      </c>
      <c r="N29" s="16">
        <f t="shared" si="1"/>
        <v>-8602</v>
      </c>
      <c r="O29" s="26">
        <v>500</v>
      </c>
      <c r="P29" s="16">
        <f t="shared" si="2"/>
        <v>9102</v>
      </c>
      <c r="Q29" s="27"/>
      <c r="R29" s="28"/>
      <c r="S29" s="29"/>
    </row>
    <row r="30" spans="1:19" s="21" customFormat="1" ht="30.75" thickBot="1" x14ac:dyDescent="0.3">
      <c r="A30" s="22">
        <v>3</v>
      </c>
      <c r="B30" s="23" t="s">
        <v>101</v>
      </c>
      <c r="C30" s="24" t="s">
        <v>102</v>
      </c>
      <c r="D30" s="25" t="s">
        <v>103</v>
      </c>
      <c r="E30" s="30" t="s">
        <v>86</v>
      </c>
      <c r="F30" s="30">
        <v>0</v>
      </c>
      <c r="G30" s="30">
        <v>0</v>
      </c>
      <c r="H30" s="14">
        <v>0</v>
      </c>
      <c r="I30" s="14">
        <v>0</v>
      </c>
      <c r="J30" s="15">
        <f>'[1]18'!L30</f>
        <v>0</v>
      </c>
      <c r="K30" s="16">
        <f t="shared" si="0"/>
        <v>0</v>
      </c>
      <c r="L30" s="16">
        <f t="shared" si="3"/>
        <v>0</v>
      </c>
      <c r="M30" s="17">
        <v>25740</v>
      </c>
      <c r="N30" s="16">
        <f t="shared" si="1"/>
        <v>-25740</v>
      </c>
      <c r="O30" s="26">
        <v>500</v>
      </c>
      <c r="P30" s="16">
        <f t="shared" si="2"/>
        <v>26240</v>
      </c>
      <c r="Q30" s="31"/>
      <c r="R30" s="32"/>
      <c r="S30" s="29"/>
    </row>
    <row r="31" spans="1:19" s="21" customFormat="1" ht="30.75" thickBot="1" x14ac:dyDescent="0.3">
      <c r="A31" s="33">
        <v>4</v>
      </c>
      <c r="B31" s="34" t="s">
        <v>104</v>
      </c>
      <c r="C31" s="34" t="s">
        <v>105</v>
      </c>
      <c r="D31" s="35" t="s">
        <v>106</v>
      </c>
      <c r="E31" s="30" t="s">
        <v>86</v>
      </c>
      <c r="F31" s="36">
        <v>0</v>
      </c>
      <c r="G31" s="36">
        <v>0</v>
      </c>
      <c r="H31" s="14">
        <v>0</v>
      </c>
      <c r="I31" s="14">
        <v>0</v>
      </c>
      <c r="J31" s="15">
        <f>'[1]18'!L31</f>
        <v>0</v>
      </c>
      <c r="K31" s="37">
        <f t="shared" si="0"/>
        <v>0</v>
      </c>
      <c r="L31" s="16">
        <f t="shared" si="3"/>
        <v>0</v>
      </c>
      <c r="M31" s="17">
        <v>0</v>
      </c>
      <c r="N31" s="37">
        <f t="shared" si="1"/>
        <v>0</v>
      </c>
      <c r="O31" s="38">
        <v>500</v>
      </c>
      <c r="P31" s="37">
        <f t="shared" si="2"/>
        <v>500</v>
      </c>
      <c r="Q31" s="39"/>
      <c r="R31" s="40"/>
      <c r="S31" s="41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conditionalFormatting sqref="K28:K31">
    <cfRule type="cellIs" dxfId="1" priority="1" operator="greaterThan">
      <formula>24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50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51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52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53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54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55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56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57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58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59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60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 x14ac:dyDescent="0.25"/>
  <cols>
    <col min="1" max="1" width="8" customWidth="1"/>
    <col min="2" max="2" width="22" customWidth="1"/>
    <col min="3" max="3" width="15" customWidth="1"/>
    <col min="4" max="4" width="18" customWidth="1"/>
    <col min="5" max="5" width="12" customWidth="1"/>
    <col min="6" max="7" width="10" customWidth="1"/>
    <col min="8" max="8" width="18" customWidth="1"/>
    <col min="9" max="9" width="16" customWidth="1"/>
    <col min="10" max="10" width="18" customWidth="1"/>
    <col min="11" max="12" width="14" customWidth="1"/>
    <col min="13" max="13" width="16" customWidth="1"/>
    <col min="14" max="14" width="22" customWidth="1"/>
    <col min="15" max="15" width="14" customWidth="1"/>
    <col min="16" max="16" width="22" customWidth="1"/>
    <col min="17" max="18" width="26" customWidth="1"/>
    <col min="19" max="19" width="32" customWidth="1"/>
  </cols>
  <sheetData>
    <row r="1" spans="1:19" ht="36" customHeight="1" x14ac:dyDescent="0.25">
      <c r="A1" s="1" t="s">
        <v>0</v>
      </c>
      <c r="B1" s="2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1" t="s">
        <v>3</v>
      </c>
      <c r="Q1" s="5" t="s">
        <v>61</v>
      </c>
      <c r="R1" s="5"/>
      <c r="S1" s="5"/>
    </row>
    <row r="2" spans="1:19" ht="21.95" customHeight="1" x14ac:dyDescent="0.25">
      <c r="A2" s="1" t="s">
        <v>5</v>
      </c>
      <c r="B2" s="2" t="s">
        <v>6</v>
      </c>
    </row>
    <row r="3" spans="1:19" ht="20.100000000000001" customHeight="1" x14ac:dyDescent="0.25">
      <c r="A3" s="6" t="s">
        <v>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24" customHeight="1" x14ac:dyDescent="0.25">
      <c r="A4" s="7" t="s">
        <v>8</v>
      </c>
      <c r="B4" s="7" t="s">
        <v>9</v>
      </c>
      <c r="C4" s="7" t="s">
        <v>10</v>
      </c>
      <c r="D4" s="7" t="s">
        <v>11</v>
      </c>
      <c r="E4" s="3" t="s">
        <v>12</v>
      </c>
      <c r="F4" s="7" t="s">
        <v>13</v>
      </c>
      <c r="G4" s="7"/>
      <c r="H4" s="3" t="s">
        <v>14</v>
      </c>
      <c r="I4" s="3" t="s">
        <v>15</v>
      </c>
      <c r="J4" s="7" t="s">
        <v>16</v>
      </c>
      <c r="K4" s="7" t="s">
        <v>17</v>
      </c>
      <c r="L4" s="7" t="s">
        <v>18</v>
      </c>
      <c r="M4" s="7" t="s">
        <v>19</v>
      </c>
      <c r="N4" s="7" t="s">
        <v>20</v>
      </c>
      <c r="O4" s="7" t="s">
        <v>21</v>
      </c>
      <c r="P4" s="7" t="s">
        <v>22</v>
      </c>
      <c r="Q4" s="7" t="s">
        <v>23</v>
      </c>
      <c r="R4" s="7" t="s">
        <v>24</v>
      </c>
      <c r="S4" s="7" t="s">
        <v>25</v>
      </c>
    </row>
    <row r="5" spans="1:19" ht="24" customHeight="1" x14ac:dyDescent="0.25">
      <c r="A5" s="7"/>
      <c r="B5" s="7"/>
      <c r="C5" s="7"/>
      <c r="D5" s="7"/>
      <c r="E5" s="3" t="s">
        <v>26</v>
      </c>
      <c r="F5" s="3" t="s">
        <v>27</v>
      </c>
      <c r="G5" s="3" t="s">
        <v>28</v>
      </c>
      <c r="H5" s="3" t="s">
        <v>29</v>
      </c>
      <c r="I5" s="3" t="s">
        <v>30</v>
      </c>
      <c r="J5" s="7"/>
      <c r="K5" s="7"/>
      <c r="L5" s="7"/>
      <c r="M5" s="7"/>
      <c r="N5" s="7"/>
      <c r="O5" s="7"/>
      <c r="P5" s="7"/>
      <c r="Q5" s="7"/>
      <c r="R5" s="7"/>
      <c r="S5" s="7"/>
    </row>
    <row r="25" spans="1:19" ht="20.100000000000001" customHeight="1" x14ac:dyDescent="0.25">
      <c r="A25" s="6" t="s">
        <v>31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4" customHeight="1" x14ac:dyDescent="0.25">
      <c r="A26" s="7" t="s">
        <v>8</v>
      </c>
      <c r="B26" s="7" t="s">
        <v>9</v>
      </c>
      <c r="C26" s="7" t="s">
        <v>10</v>
      </c>
      <c r="D26" s="7" t="s">
        <v>11</v>
      </c>
      <c r="E26" s="3" t="s">
        <v>12</v>
      </c>
      <c r="F26" s="7" t="s">
        <v>13</v>
      </c>
      <c r="G26" s="7"/>
      <c r="H26" s="3" t="s">
        <v>14</v>
      </c>
      <c r="I26" s="3" t="s">
        <v>15</v>
      </c>
      <c r="J26" s="7" t="s">
        <v>16</v>
      </c>
      <c r="K26" s="7" t="s">
        <v>17</v>
      </c>
      <c r="L26" s="7" t="s">
        <v>18</v>
      </c>
      <c r="M26" s="7" t="s">
        <v>19</v>
      </c>
      <c r="N26" s="7" t="s">
        <v>20</v>
      </c>
      <c r="O26" s="7" t="s">
        <v>21</v>
      </c>
      <c r="P26" s="7" t="s">
        <v>22</v>
      </c>
      <c r="Q26" s="7" t="s">
        <v>23</v>
      </c>
      <c r="R26" s="7" t="s">
        <v>24</v>
      </c>
      <c r="S26" s="7" t="s">
        <v>25</v>
      </c>
    </row>
    <row r="27" spans="1:19" ht="24" customHeight="1" x14ac:dyDescent="0.25">
      <c r="A27" s="7"/>
      <c r="B27" s="7"/>
      <c r="C27" s="7"/>
      <c r="D27" s="7"/>
      <c r="E27" s="3" t="s">
        <v>26</v>
      </c>
      <c r="F27" s="3" t="s">
        <v>27</v>
      </c>
      <c r="G27" s="3" t="s">
        <v>28</v>
      </c>
      <c r="H27" s="3" t="s">
        <v>29</v>
      </c>
      <c r="I27" s="3" t="s">
        <v>30</v>
      </c>
      <c r="J27" s="7"/>
      <c r="K27" s="7"/>
      <c r="L27" s="7"/>
      <c r="M27" s="7"/>
      <c r="N27" s="7"/>
      <c r="O27" s="7"/>
      <c r="P27" s="7"/>
      <c r="Q27" s="7"/>
      <c r="R27" s="7"/>
      <c r="S27" s="7"/>
    </row>
  </sheetData>
  <mergeCells count="34">
    <mergeCell ref="R26:R27"/>
    <mergeCell ref="S26:S27"/>
    <mergeCell ref="R4:R5"/>
    <mergeCell ref="S4:S5"/>
    <mergeCell ref="A25:S25"/>
    <mergeCell ref="F26:G26"/>
    <mergeCell ref="A26:A27"/>
    <mergeCell ref="B26:B27"/>
    <mergeCell ref="C26:C27"/>
    <mergeCell ref="D26:D27"/>
    <mergeCell ref="J26:J27"/>
    <mergeCell ref="K26:K27"/>
    <mergeCell ref="L26:L27"/>
    <mergeCell ref="M26:M27"/>
    <mergeCell ref="N26:N27"/>
    <mergeCell ref="O26:O27"/>
    <mergeCell ref="P26:P27"/>
    <mergeCell ref="Q26:Q27"/>
    <mergeCell ref="C1:O1"/>
    <mergeCell ref="Q1:S1"/>
    <mergeCell ref="A3:S3"/>
    <mergeCell ref="F4:G4"/>
    <mergeCell ref="A4:A5"/>
    <mergeCell ref="B4:B5"/>
    <mergeCell ref="C4:C5"/>
    <mergeCell ref="D4:D5"/>
    <mergeCell ref="J4:J5"/>
    <mergeCell ref="K4:K5"/>
    <mergeCell ref="L4:L5"/>
    <mergeCell ref="M4:M5"/>
    <mergeCell ref="N4:N5"/>
    <mergeCell ref="O4:O5"/>
    <mergeCell ref="P4:P5"/>
    <mergeCell ref="Q4:Q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2026-08-20T07:04:19Z</dcterms:created>
  <dcterms:modified xsi:type="dcterms:W3CDTF">2026-08-20T07:07:20Z</dcterms:modified>
  <cp:category/>
</cp:coreProperties>
</file>