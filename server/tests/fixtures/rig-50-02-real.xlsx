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3005" activeTab="1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52511"/>
</workbook>
</file>

<file path=xl/calcChain.xml><?xml version="1.0" encoding="utf-8"?>
<calcChain xmlns="http://schemas.openxmlformats.org/spreadsheetml/2006/main">
  <c r="K13" i="18" l="1"/>
  <c r="L13" i="18" s="1"/>
  <c r="N13" i="18" s="1"/>
  <c r="P13" i="18" s="1"/>
  <c r="K31" i="31"/>
  <c r="K30" i="31"/>
  <c r="K29" i="31"/>
  <c r="K28" i="31"/>
  <c r="K12" i="31"/>
  <c r="K11" i="31"/>
  <c r="K10" i="31"/>
  <c r="K9" i="31"/>
  <c r="K8" i="31"/>
  <c r="K7" i="31"/>
  <c r="K6" i="31"/>
  <c r="K31" i="30"/>
  <c r="K30" i="30"/>
  <c r="K29" i="30"/>
  <c r="K28" i="30"/>
  <c r="K12" i="30"/>
  <c r="K11" i="30"/>
  <c r="K10" i="30"/>
  <c r="K9" i="30"/>
  <c r="K8" i="30"/>
  <c r="K7" i="30"/>
  <c r="K6" i="30"/>
  <c r="K31" i="29"/>
  <c r="K30" i="29"/>
  <c r="K29" i="29"/>
  <c r="K28" i="29"/>
  <c r="K12" i="29"/>
  <c r="K11" i="29"/>
  <c r="K10" i="29"/>
  <c r="K9" i="29"/>
  <c r="K8" i="29"/>
  <c r="K7" i="29"/>
  <c r="K6" i="29"/>
  <c r="K31" i="28"/>
  <c r="K30" i="28"/>
  <c r="K29" i="28"/>
  <c r="K28" i="28"/>
  <c r="K12" i="28"/>
  <c r="K11" i="28"/>
  <c r="K10" i="28"/>
  <c r="K9" i="28"/>
  <c r="K8" i="28"/>
  <c r="K7" i="28"/>
  <c r="K6" i="28"/>
  <c r="K31" i="27"/>
  <c r="K30" i="27"/>
  <c r="K29" i="27"/>
  <c r="K28" i="27"/>
  <c r="K12" i="27"/>
  <c r="K11" i="27"/>
  <c r="K10" i="27"/>
  <c r="K9" i="27"/>
  <c r="K8" i="27"/>
  <c r="K7" i="27"/>
  <c r="K6" i="27"/>
  <c r="K31" i="26"/>
  <c r="K30" i="26"/>
  <c r="K29" i="26"/>
  <c r="K28" i="26"/>
  <c r="K12" i="26"/>
  <c r="K11" i="26"/>
  <c r="K10" i="26"/>
  <c r="K9" i="26"/>
  <c r="K8" i="26"/>
  <c r="K7" i="26"/>
  <c r="K6" i="26"/>
  <c r="K31" i="25"/>
  <c r="K30" i="25"/>
  <c r="K29" i="25"/>
  <c r="K28" i="25"/>
  <c r="K12" i="25"/>
  <c r="K11" i="25"/>
  <c r="K10" i="25"/>
  <c r="K9" i="25"/>
  <c r="K8" i="25"/>
  <c r="K7" i="25"/>
  <c r="K6" i="25"/>
  <c r="K31" i="24"/>
  <c r="K30" i="24"/>
  <c r="K29" i="24"/>
  <c r="K28" i="24"/>
  <c r="K12" i="24"/>
  <c r="K11" i="24"/>
  <c r="K10" i="24"/>
  <c r="K9" i="24"/>
  <c r="K8" i="24"/>
  <c r="K7" i="24"/>
  <c r="K6" i="24"/>
  <c r="K31" i="23"/>
  <c r="K30" i="23"/>
  <c r="K29" i="23"/>
  <c r="K28" i="23"/>
  <c r="K12" i="23"/>
  <c r="K11" i="23"/>
  <c r="K10" i="23"/>
  <c r="K9" i="23"/>
  <c r="K8" i="23"/>
  <c r="K7" i="23"/>
  <c r="K6" i="23"/>
  <c r="K31" i="22"/>
  <c r="K30" i="22"/>
  <c r="K29" i="22"/>
  <c r="K28" i="22"/>
  <c r="K12" i="22"/>
  <c r="K11" i="22"/>
  <c r="K10" i="22"/>
  <c r="K9" i="22"/>
  <c r="K8" i="22"/>
  <c r="K7" i="22"/>
  <c r="K6" i="22"/>
  <c r="K31" i="21"/>
  <c r="K30" i="21"/>
  <c r="K29" i="21"/>
  <c r="K28" i="21"/>
  <c r="K12" i="21"/>
  <c r="K11" i="21"/>
  <c r="K10" i="21"/>
  <c r="K9" i="21"/>
  <c r="K8" i="21"/>
  <c r="K7" i="21"/>
  <c r="K6" i="21"/>
  <c r="K31" i="20"/>
  <c r="K30" i="20"/>
  <c r="K29" i="20"/>
  <c r="K28" i="20"/>
  <c r="K12" i="20"/>
  <c r="K11" i="20"/>
  <c r="K10" i="20"/>
  <c r="K9" i="20"/>
  <c r="K8" i="20"/>
  <c r="K7" i="20"/>
  <c r="K6" i="20"/>
  <c r="K31" i="19"/>
  <c r="K30" i="19"/>
  <c r="K29" i="19"/>
  <c r="K28" i="19"/>
  <c r="K12" i="19"/>
  <c r="K11" i="19"/>
  <c r="K10" i="19"/>
  <c r="K9" i="19"/>
  <c r="K8" i="19"/>
  <c r="K7" i="19"/>
  <c r="K6" i="19"/>
  <c r="K30" i="18"/>
  <c r="K29" i="18"/>
  <c r="K28" i="18"/>
  <c r="K12" i="18"/>
  <c r="K11" i="18"/>
  <c r="K10" i="18"/>
  <c r="K9" i="18"/>
  <c r="K8" i="18"/>
  <c r="K7" i="18"/>
  <c r="K6" i="18"/>
  <c r="K31" i="17"/>
  <c r="K30" i="17"/>
  <c r="K29" i="17"/>
  <c r="K28" i="17"/>
  <c r="K12" i="17"/>
  <c r="K11" i="17"/>
  <c r="K10" i="17"/>
  <c r="K9" i="17"/>
  <c r="K8" i="17"/>
  <c r="K7" i="17"/>
  <c r="K6" i="17"/>
  <c r="K31" i="16"/>
  <c r="K30" i="16"/>
  <c r="K29" i="16"/>
  <c r="K28" i="16"/>
  <c r="K12" i="16"/>
  <c r="K11" i="16"/>
  <c r="K10" i="16"/>
  <c r="K9" i="16"/>
  <c r="K8" i="16"/>
  <c r="K7" i="16"/>
  <c r="K6" i="16"/>
  <c r="K31" i="15"/>
  <c r="K30" i="15"/>
  <c r="K29" i="15"/>
  <c r="K28" i="15"/>
  <c r="K12" i="15"/>
  <c r="K11" i="15"/>
  <c r="K10" i="15"/>
  <c r="K9" i="15"/>
  <c r="K8" i="15"/>
  <c r="K7" i="15"/>
  <c r="K6" i="15"/>
  <c r="K31" i="14"/>
  <c r="K30" i="14"/>
  <c r="K29" i="14"/>
  <c r="K28" i="14"/>
  <c r="K12" i="14"/>
  <c r="K11" i="14"/>
  <c r="K10" i="14"/>
  <c r="K9" i="14"/>
  <c r="K8" i="14"/>
  <c r="K7" i="14"/>
  <c r="K6" i="14"/>
  <c r="K31" i="13"/>
  <c r="K30" i="13"/>
  <c r="K29" i="13"/>
  <c r="K28" i="13"/>
  <c r="K12" i="13"/>
  <c r="K11" i="13"/>
  <c r="K10" i="13"/>
  <c r="K9" i="13"/>
  <c r="K8" i="13"/>
  <c r="K7" i="13"/>
  <c r="K6" i="13"/>
  <c r="K31" i="12"/>
  <c r="K30" i="12"/>
  <c r="K29" i="12"/>
  <c r="K28" i="12"/>
  <c r="K12" i="12"/>
  <c r="K11" i="12"/>
  <c r="K10" i="12"/>
  <c r="K9" i="12"/>
  <c r="K8" i="12"/>
  <c r="K7" i="12"/>
  <c r="K6" i="12"/>
  <c r="K31" i="11"/>
  <c r="K30" i="11"/>
  <c r="K29" i="11"/>
  <c r="K28" i="11"/>
  <c r="K12" i="11"/>
  <c r="K11" i="11"/>
  <c r="K10" i="11"/>
  <c r="K9" i="11"/>
  <c r="K8" i="11"/>
  <c r="K7" i="11"/>
  <c r="K6" i="11"/>
  <c r="K31" i="10"/>
  <c r="K30" i="10"/>
  <c r="K29" i="10"/>
  <c r="K28" i="10"/>
  <c r="K12" i="10"/>
  <c r="K11" i="10"/>
  <c r="K10" i="10"/>
  <c r="K9" i="10"/>
  <c r="K8" i="10"/>
  <c r="K7" i="10"/>
  <c r="K6" i="10"/>
  <c r="K31" i="9"/>
  <c r="K30" i="9"/>
  <c r="K29" i="9"/>
  <c r="K28" i="9"/>
  <c r="K12" i="9"/>
  <c r="K11" i="9"/>
  <c r="K10" i="9"/>
  <c r="K9" i="9"/>
  <c r="K8" i="9"/>
  <c r="K7" i="9"/>
  <c r="K6" i="9"/>
  <c r="K31" i="8"/>
  <c r="K30" i="8"/>
  <c r="K29" i="8"/>
  <c r="K28" i="8"/>
  <c r="K12" i="8"/>
  <c r="K11" i="8"/>
  <c r="K10" i="8"/>
  <c r="K9" i="8"/>
  <c r="K8" i="8"/>
  <c r="K7" i="8"/>
  <c r="K6" i="8"/>
  <c r="K31" i="7"/>
  <c r="K30" i="7"/>
  <c r="K29" i="7"/>
  <c r="K28" i="7"/>
  <c r="K12" i="7"/>
  <c r="K11" i="7"/>
  <c r="K10" i="7"/>
  <c r="K9" i="7"/>
  <c r="K8" i="7"/>
  <c r="K7" i="7"/>
  <c r="K6" i="7"/>
  <c r="K31" i="6"/>
  <c r="K30" i="6"/>
  <c r="K29" i="6"/>
  <c r="K28" i="6"/>
  <c r="K12" i="6"/>
  <c r="K11" i="6"/>
  <c r="K10" i="6"/>
  <c r="K9" i="6"/>
  <c r="K8" i="6"/>
  <c r="K7" i="6"/>
  <c r="K6" i="6"/>
  <c r="K31" i="5"/>
  <c r="K30" i="5"/>
  <c r="K29" i="5"/>
  <c r="K28" i="5"/>
  <c r="K12" i="5"/>
  <c r="K11" i="5"/>
  <c r="K10" i="5"/>
  <c r="K9" i="5"/>
  <c r="K8" i="5"/>
  <c r="K7" i="5"/>
  <c r="K6" i="5"/>
  <c r="K31" i="4"/>
  <c r="K30" i="4"/>
  <c r="K29" i="4"/>
  <c r="K28" i="4"/>
  <c r="K12" i="4"/>
  <c r="K11" i="4"/>
  <c r="K10" i="4"/>
  <c r="K9" i="4"/>
  <c r="K8" i="4"/>
  <c r="K7" i="4"/>
  <c r="K6" i="4"/>
  <c r="K31" i="3"/>
  <c r="K30" i="3"/>
  <c r="K29" i="3"/>
  <c r="K28" i="3"/>
  <c r="K12" i="3"/>
  <c r="K11" i="3"/>
  <c r="K10" i="3"/>
  <c r="K9" i="3"/>
  <c r="L9" i="3" s="1"/>
  <c r="K8" i="3"/>
  <c r="K7" i="3"/>
  <c r="K6" i="3"/>
  <c r="K31" i="2"/>
  <c r="K30" i="2"/>
  <c r="K29" i="2"/>
  <c r="K28" i="2"/>
  <c r="J28" i="2"/>
  <c r="L28" i="2" s="1"/>
  <c r="K12" i="2"/>
  <c r="K11" i="2"/>
  <c r="K10" i="2"/>
  <c r="K9" i="2"/>
  <c r="K8" i="2"/>
  <c r="J8" i="2"/>
  <c r="L8" i="2" s="1"/>
  <c r="K7" i="2"/>
  <c r="K6" i="2"/>
  <c r="K31" i="1"/>
  <c r="L31" i="1" s="1"/>
  <c r="K30" i="1"/>
  <c r="L30" i="1" s="1"/>
  <c r="K29" i="1"/>
  <c r="L29" i="1" s="1"/>
  <c r="K28" i="1"/>
  <c r="L28" i="1" s="1"/>
  <c r="N28" i="1" s="1"/>
  <c r="P28" i="1" s="1"/>
  <c r="K12" i="1"/>
  <c r="L12" i="1" s="1"/>
  <c r="K11" i="1"/>
  <c r="L11" i="1" s="1"/>
  <c r="K10" i="1"/>
  <c r="L10" i="1" s="1"/>
  <c r="K9" i="1"/>
  <c r="L9" i="1" s="1"/>
  <c r="J9" i="2" s="1"/>
  <c r="L9" i="2" s="1"/>
  <c r="J9" i="3" s="1"/>
  <c r="K8" i="1"/>
  <c r="L8" i="1" s="1"/>
  <c r="N8" i="1" s="1"/>
  <c r="P8" i="1" s="1"/>
  <c r="K7" i="1"/>
  <c r="L7" i="1" s="1"/>
  <c r="K6" i="1"/>
  <c r="L6" i="1" s="1"/>
  <c r="J6" i="2" l="1"/>
  <c r="L6" i="2" s="1"/>
  <c r="N6" i="1"/>
  <c r="P6" i="1" s="1"/>
  <c r="J8" i="3"/>
  <c r="L8" i="3" s="1"/>
  <c r="N8" i="2"/>
  <c r="P8" i="2" s="1"/>
  <c r="J28" i="3"/>
  <c r="L28" i="3" s="1"/>
  <c r="N28" i="2"/>
  <c r="P28" i="2" s="1"/>
  <c r="J11" i="2"/>
  <c r="L11" i="2" s="1"/>
  <c r="N11" i="1"/>
  <c r="P11" i="1" s="1"/>
  <c r="J12" i="2"/>
  <c r="L12" i="2" s="1"/>
  <c r="N12" i="1"/>
  <c r="P12" i="1" s="1"/>
  <c r="N9" i="3"/>
  <c r="P9" i="3" s="1"/>
  <c r="J9" i="4"/>
  <c r="L9" i="4" s="1"/>
  <c r="N29" i="1"/>
  <c r="P29" i="1" s="1"/>
  <c r="J29" i="2"/>
  <c r="L29" i="2" s="1"/>
  <c r="J7" i="2"/>
  <c r="L7" i="2" s="1"/>
  <c r="N7" i="1"/>
  <c r="P7" i="1" s="1"/>
  <c r="J30" i="2"/>
  <c r="L30" i="2" s="1"/>
  <c r="N30" i="1"/>
  <c r="P30" i="1" s="1"/>
  <c r="N31" i="1"/>
  <c r="P31" i="1" s="1"/>
  <c r="J31" i="2"/>
  <c r="L31" i="2" s="1"/>
  <c r="N10" i="1"/>
  <c r="P10" i="1" s="1"/>
  <c r="J10" i="2"/>
  <c r="L10" i="2" s="1"/>
  <c r="N9" i="2"/>
  <c r="P9" i="2" s="1"/>
  <c r="N9" i="1"/>
  <c r="P9" i="1" s="1"/>
  <c r="N9" i="4" l="1"/>
  <c r="P9" i="4" s="1"/>
  <c r="J9" i="5"/>
  <c r="L9" i="5" s="1"/>
  <c r="J29" i="3"/>
  <c r="L29" i="3" s="1"/>
  <c r="N29" i="2"/>
  <c r="P29" i="2" s="1"/>
  <c r="N12" i="2"/>
  <c r="P12" i="2" s="1"/>
  <c r="J12" i="3"/>
  <c r="L12" i="3" s="1"/>
  <c r="J10" i="3"/>
  <c r="L10" i="3" s="1"/>
  <c r="N10" i="2"/>
  <c r="P10" i="2" s="1"/>
  <c r="N8" i="3"/>
  <c r="P8" i="3" s="1"/>
  <c r="J8" i="4"/>
  <c r="L8" i="4" s="1"/>
  <c r="J31" i="3"/>
  <c r="L31" i="3" s="1"/>
  <c r="N31" i="2"/>
  <c r="P31" i="2" s="1"/>
  <c r="N7" i="2"/>
  <c r="P7" i="2" s="1"/>
  <c r="J7" i="3"/>
  <c r="L7" i="3" s="1"/>
  <c r="J11" i="3"/>
  <c r="L11" i="3" s="1"/>
  <c r="N11" i="2"/>
  <c r="P11" i="2" s="1"/>
  <c r="J28" i="4"/>
  <c r="L28" i="4" s="1"/>
  <c r="N28" i="3"/>
  <c r="P28" i="3" s="1"/>
  <c r="N30" i="2"/>
  <c r="P30" i="2" s="1"/>
  <c r="J30" i="3"/>
  <c r="L30" i="3" s="1"/>
  <c r="N6" i="2"/>
  <c r="P6" i="2" s="1"/>
  <c r="J6" i="3"/>
  <c r="L6" i="3" s="1"/>
  <c r="J30" i="4" l="1"/>
  <c r="L30" i="4" s="1"/>
  <c r="N30" i="3"/>
  <c r="P30" i="3" s="1"/>
  <c r="N11" i="3"/>
  <c r="P11" i="3" s="1"/>
  <c r="J11" i="4"/>
  <c r="L11" i="4" s="1"/>
  <c r="J31" i="4"/>
  <c r="L31" i="4" s="1"/>
  <c r="N31" i="3"/>
  <c r="P31" i="3" s="1"/>
  <c r="N10" i="3"/>
  <c r="P10" i="3" s="1"/>
  <c r="J10" i="4"/>
  <c r="L10" i="4" s="1"/>
  <c r="J29" i="4"/>
  <c r="L29" i="4" s="1"/>
  <c r="N29" i="3"/>
  <c r="P29" i="3" s="1"/>
  <c r="N12" i="3"/>
  <c r="P12" i="3" s="1"/>
  <c r="J12" i="4"/>
  <c r="L12" i="4" s="1"/>
  <c r="J9" i="6"/>
  <c r="L9" i="6" s="1"/>
  <c r="N9" i="5"/>
  <c r="P9" i="5" s="1"/>
  <c r="N7" i="3"/>
  <c r="P7" i="3" s="1"/>
  <c r="J7" i="4"/>
  <c r="L7" i="4" s="1"/>
  <c r="J8" i="5"/>
  <c r="L8" i="5" s="1"/>
  <c r="N8" i="4"/>
  <c r="P8" i="4" s="1"/>
  <c r="J6" i="4"/>
  <c r="L6" i="4" s="1"/>
  <c r="N6" i="3"/>
  <c r="P6" i="3" s="1"/>
  <c r="J28" i="5"/>
  <c r="L28" i="5" s="1"/>
  <c r="N28" i="4"/>
  <c r="P28" i="4" s="1"/>
  <c r="N29" i="4" l="1"/>
  <c r="P29" i="4" s="1"/>
  <c r="J29" i="5"/>
  <c r="L29" i="5" s="1"/>
  <c r="J7" i="5"/>
  <c r="L7" i="5" s="1"/>
  <c r="N7" i="4"/>
  <c r="P7" i="4" s="1"/>
  <c r="N12" i="4"/>
  <c r="P12" i="4" s="1"/>
  <c r="J12" i="5"/>
  <c r="L12" i="5" s="1"/>
  <c r="J28" i="6"/>
  <c r="L28" i="6" s="1"/>
  <c r="N28" i="5"/>
  <c r="P28" i="5" s="1"/>
  <c r="N9" i="6"/>
  <c r="P9" i="6" s="1"/>
  <c r="J9" i="7"/>
  <c r="L9" i="7" s="1"/>
  <c r="N10" i="4"/>
  <c r="P10" i="4" s="1"/>
  <c r="J10" i="5"/>
  <c r="L10" i="5" s="1"/>
  <c r="J31" i="5"/>
  <c r="L31" i="5" s="1"/>
  <c r="N31" i="4"/>
  <c r="P31" i="4" s="1"/>
  <c r="J11" i="5"/>
  <c r="L11" i="5" s="1"/>
  <c r="N11" i="4"/>
  <c r="P11" i="4" s="1"/>
  <c r="N6" i="4"/>
  <c r="P6" i="4" s="1"/>
  <c r="J6" i="5"/>
  <c r="L6" i="5" s="1"/>
  <c r="J8" i="6"/>
  <c r="L8" i="6" s="1"/>
  <c r="N8" i="5"/>
  <c r="P8" i="5" s="1"/>
  <c r="N30" i="4"/>
  <c r="P30" i="4" s="1"/>
  <c r="J30" i="5"/>
  <c r="L30" i="5" s="1"/>
  <c r="N11" i="5" l="1"/>
  <c r="P11" i="5" s="1"/>
  <c r="J11" i="6"/>
  <c r="L11" i="6" s="1"/>
  <c r="N30" i="5"/>
  <c r="P30" i="5" s="1"/>
  <c r="J30" i="6"/>
  <c r="L30" i="6" s="1"/>
  <c r="J12" i="6"/>
  <c r="L12" i="6" s="1"/>
  <c r="N12" i="5"/>
  <c r="P12" i="5" s="1"/>
  <c r="J7" i="6"/>
  <c r="L7" i="6" s="1"/>
  <c r="N7" i="5"/>
  <c r="P7" i="5" s="1"/>
  <c r="J31" i="6"/>
  <c r="L31" i="6" s="1"/>
  <c r="N31" i="5"/>
  <c r="P31" i="5" s="1"/>
  <c r="J9" i="8"/>
  <c r="L9" i="8" s="1"/>
  <c r="N9" i="7"/>
  <c r="P9" i="7" s="1"/>
  <c r="N28" i="6"/>
  <c r="P28" i="6" s="1"/>
  <c r="J28" i="7"/>
  <c r="L28" i="7" s="1"/>
  <c r="N29" i="5"/>
  <c r="P29" i="5" s="1"/>
  <c r="J29" i="6"/>
  <c r="L29" i="6" s="1"/>
  <c r="J10" i="6"/>
  <c r="L10" i="6" s="1"/>
  <c r="N10" i="5"/>
  <c r="P10" i="5" s="1"/>
  <c r="N8" i="6"/>
  <c r="P8" i="6" s="1"/>
  <c r="J8" i="7"/>
  <c r="L8" i="7" s="1"/>
  <c r="J6" i="6"/>
  <c r="L6" i="6" s="1"/>
  <c r="N6" i="5"/>
  <c r="P6" i="5" s="1"/>
  <c r="J30" i="7" l="1"/>
  <c r="L30" i="7" s="1"/>
  <c r="N30" i="6"/>
  <c r="P30" i="6" s="1"/>
  <c r="J28" i="8"/>
  <c r="L28" i="8" s="1"/>
  <c r="N28" i="7"/>
  <c r="P28" i="7" s="1"/>
  <c r="J9" i="9"/>
  <c r="L9" i="9" s="1"/>
  <c r="N9" i="8"/>
  <c r="P9" i="8" s="1"/>
  <c r="J7" i="7"/>
  <c r="L7" i="7" s="1"/>
  <c r="N7" i="6"/>
  <c r="P7" i="6" s="1"/>
  <c r="J12" i="7"/>
  <c r="L12" i="7" s="1"/>
  <c r="N12" i="6"/>
  <c r="P12" i="6" s="1"/>
  <c r="J29" i="7"/>
  <c r="L29" i="7" s="1"/>
  <c r="N29" i="6"/>
  <c r="P29" i="6" s="1"/>
  <c r="N31" i="6"/>
  <c r="P31" i="6" s="1"/>
  <c r="J31" i="7"/>
  <c r="L31" i="7" s="1"/>
  <c r="N6" i="6"/>
  <c r="P6" i="6" s="1"/>
  <c r="J6" i="7"/>
  <c r="L6" i="7" s="1"/>
  <c r="J11" i="7"/>
  <c r="L11" i="7" s="1"/>
  <c r="N11" i="6"/>
  <c r="P11" i="6" s="1"/>
  <c r="N8" i="7"/>
  <c r="P8" i="7" s="1"/>
  <c r="J8" i="8"/>
  <c r="L8" i="8" s="1"/>
  <c r="J10" i="7"/>
  <c r="L10" i="7" s="1"/>
  <c r="N10" i="6"/>
  <c r="P10" i="6" s="1"/>
  <c r="N29" i="7" l="1"/>
  <c r="P29" i="7" s="1"/>
  <c r="J29" i="8"/>
  <c r="L29" i="8" s="1"/>
  <c r="J10" i="8"/>
  <c r="L10" i="8" s="1"/>
  <c r="N10" i="7"/>
  <c r="P10" i="7" s="1"/>
  <c r="N6" i="7"/>
  <c r="P6" i="7" s="1"/>
  <c r="J6" i="8"/>
  <c r="L6" i="8" s="1"/>
  <c r="N28" i="8"/>
  <c r="P28" i="8" s="1"/>
  <c r="J28" i="9"/>
  <c r="L28" i="9" s="1"/>
  <c r="J31" i="8"/>
  <c r="L31" i="8" s="1"/>
  <c r="N31" i="7"/>
  <c r="P31" i="7" s="1"/>
  <c r="J7" i="8"/>
  <c r="L7" i="8" s="1"/>
  <c r="N7" i="7"/>
  <c r="P7" i="7" s="1"/>
  <c r="J8" i="9"/>
  <c r="L8" i="9" s="1"/>
  <c r="N8" i="8"/>
  <c r="P8" i="8" s="1"/>
  <c r="J12" i="8"/>
  <c r="L12" i="8" s="1"/>
  <c r="N12" i="7"/>
  <c r="P12" i="7" s="1"/>
  <c r="N9" i="9"/>
  <c r="P9" i="9" s="1"/>
  <c r="J9" i="10"/>
  <c r="L9" i="10" s="1"/>
  <c r="N11" i="7"/>
  <c r="P11" i="7" s="1"/>
  <c r="J11" i="8"/>
  <c r="L11" i="8" s="1"/>
  <c r="N30" i="7"/>
  <c r="P30" i="7" s="1"/>
  <c r="J30" i="8"/>
  <c r="L30" i="8" s="1"/>
  <c r="J7" i="9" l="1"/>
  <c r="L7" i="9" s="1"/>
  <c r="N7" i="8"/>
  <c r="P7" i="8" s="1"/>
  <c r="J11" i="9"/>
  <c r="L11" i="9" s="1"/>
  <c r="N11" i="8"/>
  <c r="P11" i="8" s="1"/>
  <c r="J28" i="10"/>
  <c r="L28" i="10" s="1"/>
  <c r="N28" i="9"/>
  <c r="P28" i="9" s="1"/>
  <c r="J6" i="9"/>
  <c r="L6" i="9" s="1"/>
  <c r="N6" i="8"/>
  <c r="P6" i="8" s="1"/>
  <c r="N10" i="8"/>
  <c r="P10" i="8" s="1"/>
  <c r="J10" i="9"/>
  <c r="L10" i="9" s="1"/>
  <c r="J12" i="9"/>
  <c r="L12" i="9" s="1"/>
  <c r="N12" i="8"/>
  <c r="P12" i="8" s="1"/>
  <c r="N8" i="9"/>
  <c r="P8" i="9" s="1"/>
  <c r="J8" i="10"/>
  <c r="L8" i="10" s="1"/>
  <c r="N31" i="8"/>
  <c r="P31" i="8" s="1"/>
  <c r="J31" i="9"/>
  <c r="L31" i="9" s="1"/>
  <c r="J9" i="11"/>
  <c r="L9" i="11" s="1"/>
  <c r="N9" i="10"/>
  <c r="P9" i="10" s="1"/>
  <c r="J29" i="9"/>
  <c r="L29" i="9" s="1"/>
  <c r="N29" i="8"/>
  <c r="P29" i="8" s="1"/>
  <c r="J30" i="9"/>
  <c r="L30" i="9" s="1"/>
  <c r="N30" i="8"/>
  <c r="P30" i="8" s="1"/>
  <c r="N10" i="9" l="1"/>
  <c r="P10" i="9" s="1"/>
  <c r="J10" i="10"/>
  <c r="L10" i="10" s="1"/>
  <c r="J31" i="10"/>
  <c r="L31" i="10" s="1"/>
  <c r="N31" i="9"/>
  <c r="P31" i="9" s="1"/>
  <c r="J11" i="10"/>
  <c r="L11" i="10" s="1"/>
  <c r="N11" i="9"/>
  <c r="P11" i="9" s="1"/>
  <c r="N8" i="10"/>
  <c r="P8" i="10" s="1"/>
  <c r="J8" i="11"/>
  <c r="L8" i="11" s="1"/>
  <c r="J12" i="10"/>
  <c r="L12" i="10" s="1"/>
  <c r="N12" i="9"/>
  <c r="P12" i="9" s="1"/>
  <c r="N6" i="9"/>
  <c r="P6" i="9" s="1"/>
  <c r="J6" i="10"/>
  <c r="L6" i="10" s="1"/>
  <c r="N28" i="10"/>
  <c r="P28" i="10" s="1"/>
  <c r="J28" i="11"/>
  <c r="L28" i="11" s="1"/>
  <c r="N30" i="9"/>
  <c r="P30" i="9" s="1"/>
  <c r="J30" i="10"/>
  <c r="L30" i="10" s="1"/>
  <c r="J29" i="10"/>
  <c r="L29" i="10" s="1"/>
  <c r="N29" i="9"/>
  <c r="P29" i="9" s="1"/>
  <c r="N9" i="11"/>
  <c r="P9" i="11" s="1"/>
  <c r="J9" i="12"/>
  <c r="L9" i="12" s="1"/>
  <c r="J7" i="10"/>
  <c r="L7" i="10" s="1"/>
  <c r="N7" i="9"/>
  <c r="P7" i="9" s="1"/>
  <c r="J9" i="13" l="1"/>
  <c r="L9" i="13" s="1"/>
  <c r="N9" i="12"/>
  <c r="P9" i="12" s="1"/>
  <c r="N30" i="10"/>
  <c r="P30" i="10" s="1"/>
  <c r="J30" i="11"/>
  <c r="L30" i="11" s="1"/>
  <c r="N7" i="10"/>
  <c r="P7" i="10" s="1"/>
  <c r="J7" i="11"/>
  <c r="L7" i="11" s="1"/>
  <c r="J31" i="11"/>
  <c r="L31" i="11" s="1"/>
  <c r="N31" i="10"/>
  <c r="P31" i="10" s="1"/>
  <c r="N28" i="11"/>
  <c r="P28" i="11" s="1"/>
  <c r="J28" i="12"/>
  <c r="L28" i="12" s="1"/>
  <c r="N12" i="10"/>
  <c r="P12" i="10" s="1"/>
  <c r="J12" i="11"/>
  <c r="L12" i="11" s="1"/>
  <c r="J11" i="11"/>
  <c r="L11" i="11" s="1"/>
  <c r="N11" i="10"/>
  <c r="P11" i="10" s="1"/>
  <c r="N10" i="10"/>
  <c r="P10" i="10" s="1"/>
  <c r="J10" i="11"/>
  <c r="L10" i="11" s="1"/>
  <c r="J6" i="11"/>
  <c r="L6" i="11" s="1"/>
  <c r="N6" i="10"/>
  <c r="P6" i="10" s="1"/>
  <c r="J8" i="12"/>
  <c r="L8" i="12" s="1"/>
  <c r="N8" i="11"/>
  <c r="P8" i="11" s="1"/>
  <c r="J29" i="11"/>
  <c r="L29" i="11" s="1"/>
  <c r="N29" i="10"/>
  <c r="P29" i="10" s="1"/>
  <c r="J10" i="12" l="1"/>
  <c r="L10" i="12" s="1"/>
  <c r="N10" i="11"/>
  <c r="P10" i="11" s="1"/>
  <c r="N30" i="11"/>
  <c r="P30" i="11" s="1"/>
  <c r="J30" i="12"/>
  <c r="L30" i="12" s="1"/>
  <c r="J7" i="12"/>
  <c r="L7" i="12" s="1"/>
  <c r="N7" i="11"/>
  <c r="P7" i="11" s="1"/>
  <c r="N12" i="11"/>
  <c r="P12" i="11" s="1"/>
  <c r="J12" i="12"/>
  <c r="L12" i="12" s="1"/>
  <c r="J31" i="12"/>
  <c r="L31" i="12" s="1"/>
  <c r="N31" i="11"/>
  <c r="P31" i="11" s="1"/>
  <c r="J29" i="12"/>
  <c r="L29" i="12" s="1"/>
  <c r="N29" i="11"/>
  <c r="P29" i="11" s="1"/>
  <c r="J11" i="12"/>
  <c r="L11" i="12" s="1"/>
  <c r="N11" i="11"/>
  <c r="P11" i="11" s="1"/>
  <c r="J28" i="13"/>
  <c r="L28" i="13" s="1"/>
  <c r="N28" i="12"/>
  <c r="P28" i="12" s="1"/>
  <c r="J8" i="13"/>
  <c r="L8" i="13" s="1"/>
  <c r="N8" i="12"/>
  <c r="P8" i="12" s="1"/>
  <c r="J6" i="12"/>
  <c r="L6" i="12" s="1"/>
  <c r="N6" i="11"/>
  <c r="P6" i="11" s="1"/>
  <c r="N9" i="13"/>
  <c r="P9" i="13" s="1"/>
  <c r="J9" i="14"/>
  <c r="L9" i="14" s="1"/>
  <c r="N29" i="12" l="1"/>
  <c r="P29" i="12" s="1"/>
  <c r="J29" i="13"/>
  <c r="L29" i="13" s="1"/>
  <c r="J12" i="13"/>
  <c r="L12" i="13" s="1"/>
  <c r="N12" i="12"/>
  <c r="P12" i="12" s="1"/>
  <c r="J6" i="13"/>
  <c r="L6" i="13" s="1"/>
  <c r="N6" i="12"/>
  <c r="P6" i="12" s="1"/>
  <c r="N11" i="12"/>
  <c r="P11" i="12" s="1"/>
  <c r="J11" i="13"/>
  <c r="L11" i="13" s="1"/>
  <c r="J31" i="13"/>
  <c r="L31" i="13" s="1"/>
  <c r="N31" i="12"/>
  <c r="P31" i="12" s="1"/>
  <c r="N7" i="12"/>
  <c r="P7" i="12" s="1"/>
  <c r="J7" i="13"/>
  <c r="L7" i="13" s="1"/>
  <c r="N28" i="13"/>
  <c r="P28" i="13" s="1"/>
  <c r="J28" i="14"/>
  <c r="L28" i="14" s="1"/>
  <c r="J9" i="15"/>
  <c r="L9" i="15" s="1"/>
  <c r="N9" i="14"/>
  <c r="P9" i="14" s="1"/>
  <c r="N30" i="12"/>
  <c r="P30" i="12" s="1"/>
  <c r="J30" i="13"/>
  <c r="L30" i="13" s="1"/>
  <c r="J8" i="14"/>
  <c r="L8" i="14" s="1"/>
  <c r="N8" i="13"/>
  <c r="P8" i="13" s="1"/>
  <c r="J10" i="13"/>
  <c r="L10" i="13" s="1"/>
  <c r="N10" i="12"/>
  <c r="P10" i="12" s="1"/>
  <c r="J7" i="14" l="1"/>
  <c r="L7" i="14" s="1"/>
  <c r="N7" i="13"/>
  <c r="P7" i="13" s="1"/>
  <c r="J28" i="15"/>
  <c r="L28" i="15" s="1"/>
  <c r="N28" i="14"/>
  <c r="P28" i="14" s="1"/>
  <c r="N12" i="13"/>
  <c r="P12" i="13" s="1"/>
  <c r="J12" i="14"/>
  <c r="L12" i="14" s="1"/>
  <c r="J31" i="14"/>
  <c r="L31" i="14" s="1"/>
  <c r="N31" i="13"/>
  <c r="P31" i="13" s="1"/>
  <c r="J11" i="14"/>
  <c r="L11" i="14" s="1"/>
  <c r="N11" i="13"/>
  <c r="P11" i="13" s="1"/>
  <c r="N10" i="13"/>
  <c r="P10" i="13" s="1"/>
  <c r="J10" i="14"/>
  <c r="L10" i="14" s="1"/>
  <c r="J29" i="14"/>
  <c r="L29" i="14" s="1"/>
  <c r="N29" i="13"/>
  <c r="P29" i="13" s="1"/>
  <c r="J9" i="16"/>
  <c r="L9" i="16" s="1"/>
  <c r="N9" i="15"/>
  <c r="P9" i="15" s="1"/>
  <c r="N6" i="13"/>
  <c r="P6" i="13" s="1"/>
  <c r="J6" i="14"/>
  <c r="L6" i="14" s="1"/>
  <c r="N8" i="14"/>
  <c r="P8" i="14" s="1"/>
  <c r="J8" i="15"/>
  <c r="L8" i="15" s="1"/>
  <c r="J30" i="14"/>
  <c r="L30" i="14" s="1"/>
  <c r="N30" i="13"/>
  <c r="P30" i="13" s="1"/>
  <c r="N29" i="14" l="1"/>
  <c r="P29" i="14" s="1"/>
  <c r="J29" i="15"/>
  <c r="L29" i="15" s="1"/>
  <c r="J10" i="15"/>
  <c r="L10" i="15" s="1"/>
  <c r="N10" i="14"/>
  <c r="P10" i="14" s="1"/>
  <c r="N28" i="15"/>
  <c r="P28" i="15" s="1"/>
  <c r="J28" i="16"/>
  <c r="L28" i="16" s="1"/>
  <c r="N9" i="16"/>
  <c r="P9" i="16" s="1"/>
  <c r="J9" i="17"/>
  <c r="L9" i="17" s="1"/>
  <c r="N11" i="14"/>
  <c r="P11" i="14" s="1"/>
  <c r="J11" i="15"/>
  <c r="L11" i="15" s="1"/>
  <c r="J12" i="15"/>
  <c r="L12" i="15" s="1"/>
  <c r="N12" i="14"/>
  <c r="P12" i="14" s="1"/>
  <c r="N8" i="15"/>
  <c r="P8" i="15" s="1"/>
  <c r="J8" i="16"/>
  <c r="L8" i="16" s="1"/>
  <c r="J31" i="15"/>
  <c r="L31" i="15" s="1"/>
  <c r="N31" i="14"/>
  <c r="P31" i="14" s="1"/>
  <c r="N30" i="14"/>
  <c r="P30" i="14" s="1"/>
  <c r="J30" i="15"/>
  <c r="L30" i="15" s="1"/>
  <c r="J6" i="15"/>
  <c r="L6" i="15" s="1"/>
  <c r="N6" i="14"/>
  <c r="P6" i="14" s="1"/>
  <c r="J7" i="15"/>
  <c r="L7" i="15" s="1"/>
  <c r="N7" i="14"/>
  <c r="P7" i="14" s="1"/>
  <c r="N31" i="15" l="1"/>
  <c r="P31" i="15" s="1"/>
  <c r="J31" i="16"/>
  <c r="L31" i="16" s="1"/>
  <c r="N8" i="16"/>
  <c r="P8" i="16" s="1"/>
  <c r="J8" i="17"/>
  <c r="L8" i="17" s="1"/>
  <c r="J12" i="16"/>
  <c r="L12" i="16" s="1"/>
  <c r="N12" i="15"/>
  <c r="P12" i="15" s="1"/>
  <c r="L9" i="18"/>
  <c r="N9" i="17"/>
  <c r="P9" i="17" s="1"/>
  <c r="N7" i="15"/>
  <c r="P7" i="15" s="1"/>
  <c r="J7" i="16"/>
  <c r="L7" i="16" s="1"/>
  <c r="N6" i="15"/>
  <c r="P6" i="15" s="1"/>
  <c r="J6" i="16"/>
  <c r="L6" i="16" s="1"/>
  <c r="J10" i="16"/>
  <c r="L10" i="16" s="1"/>
  <c r="N10" i="15"/>
  <c r="P10" i="15" s="1"/>
  <c r="J11" i="16"/>
  <c r="L11" i="16" s="1"/>
  <c r="N11" i="15"/>
  <c r="P11" i="15" s="1"/>
  <c r="N28" i="16"/>
  <c r="P28" i="16" s="1"/>
  <c r="J28" i="17"/>
  <c r="L28" i="17" s="1"/>
  <c r="J30" i="16"/>
  <c r="L30" i="16" s="1"/>
  <c r="N30" i="15"/>
  <c r="P30" i="15" s="1"/>
  <c r="J29" i="16"/>
  <c r="L29" i="16" s="1"/>
  <c r="N29" i="15"/>
  <c r="P29" i="15" s="1"/>
  <c r="N10" i="16" l="1"/>
  <c r="P10" i="16" s="1"/>
  <c r="J10" i="17"/>
  <c r="L10" i="17" s="1"/>
  <c r="N6" i="16"/>
  <c r="P6" i="16" s="1"/>
  <c r="J6" i="17"/>
  <c r="L6" i="17" s="1"/>
  <c r="N11" i="16"/>
  <c r="P11" i="16" s="1"/>
  <c r="J11" i="17"/>
  <c r="L11" i="17" s="1"/>
  <c r="J7" i="17"/>
  <c r="L7" i="17" s="1"/>
  <c r="N7" i="16"/>
  <c r="P7" i="16" s="1"/>
  <c r="J12" i="17"/>
  <c r="L12" i="17" s="1"/>
  <c r="N12" i="16"/>
  <c r="P12" i="16" s="1"/>
  <c r="N8" i="17"/>
  <c r="P8" i="17" s="1"/>
  <c r="L8" i="18"/>
  <c r="N28" i="17"/>
  <c r="P28" i="17" s="1"/>
  <c r="L28" i="18"/>
  <c r="J31" i="17"/>
  <c r="L31" i="17" s="1"/>
  <c r="N31" i="16"/>
  <c r="P31" i="16" s="1"/>
  <c r="N9" i="18"/>
  <c r="P9" i="18" s="1"/>
  <c r="J9" i="19"/>
  <c r="L9" i="19" s="1"/>
  <c r="J29" i="17"/>
  <c r="L29" i="17" s="1"/>
  <c r="N29" i="16"/>
  <c r="P29" i="16" s="1"/>
  <c r="N30" i="16"/>
  <c r="P30" i="16" s="1"/>
  <c r="J30" i="17"/>
  <c r="L30" i="17" s="1"/>
  <c r="L12" i="18" l="1"/>
  <c r="N12" i="17"/>
  <c r="P12" i="17" s="1"/>
  <c r="N11" i="17"/>
  <c r="P11" i="17" s="1"/>
  <c r="L11" i="18"/>
  <c r="N31" i="17"/>
  <c r="P31" i="17" s="1"/>
  <c r="L30" i="18"/>
  <c r="N30" i="17"/>
  <c r="P30" i="17" s="1"/>
  <c r="N28" i="18"/>
  <c r="P28" i="18" s="1"/>
  <c r="J28" i="19"/>
  <c r="L28" i="19" s="1"/>
  <c r="N7" i="17"/>
  <c r="P7" i="17" s="1"/>
  <c r="L7" i="18"/>
  <c r="J9" i="20"/>
  <c r="L9" i="20" s="1"/>
  <c r="N9" i="19"/>
  <c r="P9" i="19" s="1"/>
  <c r="N10" i="17"/>
  <c r="P10" i="17" s="1"/>
  <c r="L10" i="18"/>
  <c r="J8" i="19"/>
  <c r="L8" i="19" s="1"/>
  <c r="N8" i="18"/>
  <c r="P8" i="18" s="1"/>
  <c r="L6" i="18"/>
  <c r="N6" i="17"/>
  <c r="P6" i="17" s="1"/>
  <c r="L29" i="18"/>
  <c r="N29" i="17"/>
  <c r="P29" i="17" s="1"/>
  <c r="J28" i="20" l="1"/>
  <c r="L28" i="20" s="1"/>
  <c r="N28" i="19"/>
  <c r="P28" i="19" s="1"/>
  <c r="J10" i="19"/>
  <c r="L10" i="19" s="1"/>
  <c r="N10" i="18"/>
  <c r="P10" i="18" s="1"/>
  <c r="N30" i="18"/>
  <c r="P30" i="18" s="1"/>
  <c r="J30" i="19"/>
  <c r="L30" i="19" s="1"/>
  <c r="J6" i="19"/>
  <c r="L6" i="19" s="1"/>
  <c r="N6" i="18"/>
  <c r="P6" i="18" s="1"/>
  <c r="N9" i="20"/>
  <c r="P9" i="20" s="1"/>
  <c r="J9" i="21"/>
  <c r="L9" i="21" s="1"/>
  <c r="J31" i="19"/>
  <c r="L31" i="19" s="1"/>
  <c r="J7" i="19"/>
  <c r="L7" i="19" s="1"/>
  <c r="N7" i="18"/>
  <c r="P7" i="18" s="1"/>
  <c r="J29" i="19"/>
  <c r="L29" i="19" s="1"/>
  <c r="N29" i="18"/>
  <c r="P29" i="18" s="1"/>
  <c r="J11" i="19"/>
  <c r="L11" i="19" s="1"/>
  <c r="N11" i="18"/>
  <c r="P11" i="18" s="1"/>
  <c r="J8" i="20"/>
  <c r="L8" i="20" s="1"/>
  <c r="N8" i="19"/>
  <c r="P8" i="19" s="1"/>
  <c r="N12" i="18"/>
  <c r="P12" i="18" s="1"/>
  <c r="J12" i="19"/>
  <c r="L12" i="19" s="1"/>
  <c r="N7" i="19" l="1"/>
  <c r="P7" i="19" s="1"/>
  <c r="J7" i="20"/>
  <c r="L7" i="20" s="1"/>
  <c r="J12" i="20"/>
  <c r="L12" i="20" s="1"/>
  <c r="N12" i="19"/>
  <c r="P12" i="19" s="1"/>
  <c r="J9" i="22"/>
  <c r="L9" i="22" s="1"/>
  <c r="N9" i="21"/>
  <c r="P9" i="21" s="1"/>
  <c r="J8" i="21"/>
  <c r="L8" i="21" s="1"/>
  <c r="N8" i="20"/>
  <c r="P8" i="20" s="1"/>
  <c r="N10" i="19"/>
  <c r="P10" i="19" s="1"/>
  <c r="J10" i="20"/>
  <c r="L10" i="20" s="1"/>
  <c r="J30" i="20"/>
  <c r="L30" i="20" s="1"/>
  <c r="N30" i="19"/>
  <c r="P30" i="19" s="1"/>
  <c r="J29" i="20"/>
  <c r="L29" i="20" s="1"/>
  <c r="N29" i="19"/>
  <c r="P29" i="19" s="1"/>
  <c r="J31" i="20"/>
  <c r="L31" i="20" s="1"/>
  <c r="N31" i="19"/>
  <c r="P31" i="19" s="1"/>
  <c r="J6" i="20"/>
  <c r="L6" i="20" s="1"/>
  <c r="N6" i="19"/>
  <c r="P6" i="19" s="1"/>
  <c r="N11" i="19"/>
  <c r="P11" i="19" s="1"/>
  <c r="J11" i="20"/>
  <c r="L11" i="20" s="1"/>
  <c r="N28" i="20"/>
  <c r="P28" i="20" s="1"/>
  <c r="J28" i="21"/>
  <c r="L28" i="21" s="1"/>
  <c r="N31" i="20" l="1"/>
  <c r="P31" i="20" s="1"/>
  <c r="J31" i="21"/>
  <c r="L31" i="21" s="1"/>
  <c r="J8" i="22"/>
  <c r="L8" i="22" s="1"/>
  <c r="N8" i="21"/>
  <c r="P8" i="21" s="1"/>
  <c r="N30" i="20"/>
  <c r="P30" i="20" s="1"/>
  <c r="J30" i="21"/>
  <c r="L30" i="21" s="1"/>
  <c r="J11" i="21"/>
  <c r="L11" i="21" s="1"/>
  <c r="N11" i="20"/>
  <c r="P11" i="20" s="1"/>
  <c r="N12" i="20"/>
  <c r="P12" i="20" s="1"/>
  <c r="J12" i="21"/>
  <c r="L12" i="21" s="1"/>
  <c r="J28" i="22"/>
  <c r="L28" i="22" s="1"/>
  <c r="N28" i="21"/>
  <c r="P28" i="21" s="1"/>
  <c r="N9" i="22"/>
  <c r="P9" i="22" s="1"/>
  <c r="J9" i="23"/>
  <c r="L9" i="23" s="1"/>
  <c r="J7" i="21"/>
  <c r="L7" i="21" s="1"/>
  <c r="N7" i="20"/>
  <c r="P7" i="20" s="1"/>
  <c r="N29" i="20"/>
  <c r="P29" i="20" s="1"/>
  <c r="J29" i="21"/>
  <c r="L29" i="21" s="1"/>
  <c r="J10" i="21"/>
  <c r="L10" i="21" s="1"/>
  <c r="N10" i="20"/>
  <c r="P10" i="20" s="1"/>
  <c r="N6" i="20"/>
  <c r="P6" i="20" s="1"/>
  <c r="J6" i="21"/>
  <c r="L6" i="21" s="1"/>
  <c r="N9" i="23" l="1"/>
  <c r="P9" i="23" s="1"/>
  <c r="J9" i="24"/>
  <c r="L9" i="24" s="1"/>
  <c r="N11" i="21"/>
  <c r="P11" i="21" s="1"/>
  <c r="J11" i="22"/>
  <c r="L11" i="22" s="1"/>
  <c r="N28" i="22"/>
  <c r="P28" i="22" s="1"/>
  <c r="J28" i="23"/>
  <c r="L28" i="23" s="1"/>
  <c r="J7" i="22"/>
  <c r="L7" i="22" s="1"/>
  <c r="N7" i="21"/>
  <c r="P7" i="21" s="1"/>
  <c r="J12" i="22"/>
  <c r="L12" i="22" s="1"/>
  <c r="N12" i="21"/>
  <c r="P12" i="21" s="1"/>
  <c r="N6" i="21"/>
  <c r="P6" i="21" s="1"/>
  <c r="J6" i="22"/>
  <c r="L6" i="22" s="1"/>
  <c r="N8" i="22"/>
  <c r="P8" i="22" s="1"/>
  <c r="J8" i="23"/>
  <c r="L8" i="23" s="1"/>
  <c r="N30" i="21"/>
  <c r="P30" i="21" s="1"/>
  <c r="J30" i="22"/>
  <c r="L30" i="22" s="1"/>
  <c r="N29" i="21"/>
  <c r="P29" i="21" s="1"/>
  <c r="J29" i="22"/>
  <c r="L29" i="22" s="1"/>
  <c r="J31" i="22"/>
  <c r="L31" i="22" s="1"/>
  <c r="N31" i="21"/>
  <c r="P31" i="21" s="1"/>
  <c r="J10" i="22"/>
  <c r="L10" i="22" s="1"/>
  <c r="N10" i="21"/>
  <c r="P10" i="21" s="1"/>
  <c r="N8" i="23" l="1"/>
  <c r="P8" i="23" s="1"/>
  <c r="J8" i="24"/>
  <c r="L8" i="24" s="1"/>
  <c r="J12" i="23"/>
  <c r="L12" i="23" s="1"/>
  <c r="N12" i="22"/>
  <c r="P12" i="22" s="1"/>
  <c r="N28" i="23"/>
  <c r="P28" i="23" s="1"/>
  <c r="J28" i="24"/>
  <c r="L28" i="24" s="1"/>
  <c r="J30" i="23"/>
  <c r="L30" i="23" s="1"/>
  <c r="N30" i="22"/>
  <c r="P30" i="22" s="1"/>
  <c r="J29" i="23"/>
  <c r="L29" i="23" s="1"/>
  <c r="N29" i="22"/>
  <c r="P29" i="22" s="1"/>
  <c r="J9" i="25"/>
  <c r="L9" i="25" s="1"/>
  <c r="N9" i="24"/>
  <c r="P9" i="24" s="1"/>
  <c r="N6" i="22"/>
  <c r="P6" i="22" s="1"/>
  <c r="J6" i="23"/>
  <c r="L6" i="23" s="1"/>
  <c r="N7" i="22"/>
  <c r="P7" i="22" s="1"/>
  <c r="J7" i="23"/>
  <c r="L7" i="23" s="1"/>
  <c r="J10" i="23"/>
  <c r="L10" i="23" s="1"/>
  <c r="N10" i="22"/>
  <c r="P10" i="22" s="1"/>
  <c r="N11" i="22"/>
  <c r="P11" i="22" s="1"/>
  <c r="J11" i="23"/>
  <c r="L11" i="23" s="1"/>
  <c r="N31" i="22"/>
  <c r="P31" i="22" s="1"/>
  <c r="J31" i="23"/>
  <c r="L31" i="23" s="1"/>
  <c r="N9" i="25" l="1"/>
  <c r="P9" i="25" s="1"/>
  <c r="J9" i="26"/>
  <c r="L9" i="26" s="1"/>
  <c r="J30" i="24"/>
  <c r="L30" i="24" s="1"/>
  <c r="N30" i="23"/>
  <c r="P30" i="23" s="1"/>
  <c r="N6" i="23"/>
  <c r="P6" i="23" s="1"/>
  <c r="J6" i="24"/>
  <c r="L6" i="24" s="1"/>
  <c r="N29" i="23"/>
  <c r="P29" i="23" s="1"/>
  <c r="J29" i="24"/>
  <c r="L29" i="24" s="1"/>
  <c r="N28" i="24"/>
  <c r="P28" i="24" s="1"/>
  <c r="J28" i="25"/>
  <c r="L28" i="25" s="1"/>
  <c r="N11" i="23"/>
  <c r="P11" i="23" s="1"/>
  <c r="J11" i="24"/>
  <c r="L11" i="24" s="1"/>
  <c r="J8" i="25"/>
  <c r="L8" i="25" s="1"/>
  <c r="N8" i="24"/>
  <c r="P8" i="24" s="1"/>
  <c r="J7" i="24"/>
  <c r="L7" i="24" s="1"/>
  <c r="N7" i="23"/>
  <c r="P7" i="23" s="1"/>
  <c r="J31" i="24"/>
  <c r="L31" i="24" s="1"/>
  <c r="N31" i="23"/>
  <c r="P31" i="23" s="1"/>
  <c r="J12" i="24"/>
  <c r="L12" i="24" s="1"/>
  <c r="N12" i="23"/>
  <c r="P12" i="23" s="1"/>
  <c r="J10" i="24"/>
  <c r="L10" i="24" s="1"/>
  <c r="N10" i="23"/>
  <c r="P10" i="23" s="1"/>
  <c r="J28" i="26" l="1"/>
  <c r="L28" i="26" s="1"/>
  <c r="N28" i="25"/>
  <c r="P28" i="25" s="1"/>
  <c r="N11" i="24"/>
  <c r="P11" i="24" s="1"/>
  <c r="J11" i="25"/>
  <c r="L11" i="25" s="1"/>
  <c r="N7" i="24"/>
  <c r="P7" i="24" s="1"/>
  <c r="J7" i="25"/>
  <c r="L7" i="25" s="1"/>
  <c r="J30" i="25"/>
  <c r="L30" i="25" s="1"/>
  <c r="N30" i="24"/>
  <c r="P30" i="24" s="1"/>
  <c r="J29" i="25"/>
  <c r="L29" i="25" s="1"/>
  <c r="N29" i="24"/>
  <c r="P29" i="24" s="1"/>
  <c r="N10" i="24"/>
  <c r="P10" i="24" s="1"/>
  <c r="J10" i="25"/>
  <c r="L10" i="25" s="1"/>
  <c r="J9" i="27"/>
  <c r="L9" i="27" s="1"/>
  <c r="N9" i="26"/>
  <c r="P9" i="26" s="1"/>
  <c r="N8" i="25"/>
  <c r="P8" i="25" s="1"/>
  <c r="J8" i="26"/>
  <c r="L8" i="26" s="1"/>
  <c r="J6" i="25"/>
  <c r="L6" i="25" s="1"/>
  <c r="N6" i="24"/>
  <c r="P6" i="24" s="1"/>
  <c r="J12" i="25"/>
  <c r="L12" i="25" s="1"/>
  <c r="N12" i="24"/>
  <c r="P12" i="24" s="1"/>
  <c r="N31" i="24"/>
  <c r="P31" i="24" s="1"/>
  <c r="J31" i="25"/>
  <c r="L31" i="25" s="1"/>
  <c r="N9" i="27" l="1"/>
  <c r="P9" i="27" s="1"/>
  <c r="J9" i="28"/>
  <c r="L9" i="28" s="1"/>
  <c r="J7" i="26"/>
  <c r="L7" i="26" s="1"/>
  <c r="N7" i="25"/>
  <c r="P7" i="25" s="1"/>
  <c r="J8" i="27"/>
  <c r="L8" i="27" s="1"/>
  <c r="N8" i="26"/>
  <c r="P8" i="26" s="1"/>
  <c r="N30" i="25"/>
  <c r="P30" i="25" s="1"/>
  <c r="J30" i="26"/>
  <c r="L30" i="26" s="1"/>
  <c r="J10" i="26"/>
  <c r="L10" i="26" s="1"/>
  <c r="N10" i="25"/>
  <c r="P10" i="25" s="1"/>
  <c r="J29" i="26"/>
  <c r="L29" i="26" s="1"/>
  <c r="N29" i="25"/>
  <c r="P29" i="25" s="1"/>
  <c r="J31" i="26"/>
  <c r="L31" i="26" s="1"/>
  <c r="N31" i="25"/>
  <c r="P31" i="25" s="1"/>
  <c r="J11" i="26"/>
  <c r="L11" i="26" s="1"/>
  <c r="N11" i="25"/>
  <c r="P11" i="25" s="1"/>
  <c r="J12" i="26"/>
  <c r="L12" i="26" s="1"/>
  <c r="N12" i="25"/>
  <c r="P12" i="25" s="1"/>
  <c r="N6" i="25"/>
  <c r="P6" i="25" s="1"/>
  <c r="J6" i="26"/>
  <c r="L6" i="26" s="1"/>
  <c r="N28" i="26"/>
  <c r="P28" i="26" s="1"/>
  <c r="J28" i="27"/>
  <c r="L28" i="27" s="1"/>
  <c r="J31" i="27" l="1"/>
  <c r="L31" i="27" s="1"/>
  <c r="N31" i="26"/>
  <c r="P31" i="26" s="1"/>
  <c r="N29" i="26"/>
  <c r="P29" i="26" s="1"/>
  <c r="J29" i="27"/>
  <c r="L29" i="27" s="1"/>
  <c r="J6" i="27"/>
  <c r="L6" i="27" s="1"/>
  <c r="N6" i="26"/>
  <c r="P6" i="26" s="1"/>
  <c r="N30" i="26"/>
  <c r="P30" i="26" s="1"/>
  <c r="J30" i="27"/>
  <c r="L30" i="27" s="1"/>
  <c r="N7" i="26"/>
  <c r="P7" i="26" s="1"/>
  <c r="J7" i="27"/>
  <c r="L7" i="27" s="1"/>
  <c r="N10" i="26"/>
  <c r="P10" i="26" s="1"/>
  <c r="J10" i="27"/>
  <c r="L10" i="27" s="1"/>
  <c r="N9" i="28"/>
  <c r="P9" i="28" s="1"/>
  <c r="J9" i="29"/>
  <c r="L9" i="29" s="1"/>
  <c r="N11" i="26"/>
  <c r="P11" i="26" s="1"/>
  <c r="J11" i="27"/>
  <c r="L11" i="27" s="1"/>
  <c r="N28" i="27"/>
  <c r="P28" i="27" s="1"/>
  <c r="J28" i="28"/>
  <c r="L28" i="28" s="1"/>
  <c r="J8" i="28"/>
  <c r="L8" i="28" s="1"/>
  <c r="N8" i="27"/>
  <c r="P8" i="27" s="1"/>
  <c r="N12" i="26"/>
  <c r="P12" i="26" s="1"/>
  <c r="J12" i="27"/>
  <c r="L12" i="27" s="1"/>
  <c r="J11" i="28" l="1"/>
  <c r="L11" i="28" s="1"/>
  <c r="N11" i="27"/>
  <c r="P11" i="27" s="1"/>
  <c r="J10" i="28"/>
  <c r="L10" i="28" s="1"/>
  <c r="N10" i="27"/>
  <c r="P10" i="27" s="1"/>
  <c r="J7" i="28"/>
  <c r="L7" i="28" s="1"/>
  <c r="N7" i="27"/>
  <c r="P7" i="27" s="1"/>
  <c r="J28" i="29"/>
  <c r="L28" i="29" s="1"/>
  <c r="N28" i="28"/>
  <c r="P28" i="28" s="1"/>
  <c r="N9" i="29"/>
  <c r="P9" i="29" s="1"/>
  <c r="J9" i="30"/>
  <c r="L9" i="30" s="1"/>
  <c r="N30" i="27"/>
  <c r="P30" i="27" s="1"/>
  <c r="J30" i="28"/>
  <c r="L30" i="28" s="1"/>
  <c r="N12" i="27"/>
  <c r="P12" i="27" s="1"/>
  <c r="J12" i="28"/>
  <c r="L12" i="28" s="1"/>
  <c r="J6" i="28"/>
  <c r="L6" i="28" s="1"/>
  <c r="N6" i="27"/>
  <c r="P6" i="27" s="1"/>
  <c r="J29" i="28"/>
  <c r="L29" i="28" s="1"/>
  <c r="N29" i="27"/>
  <c r="P29" i="27" s="1"/>
  <c r="J8" i="29"/>
  <c r="L8" i="29" s="1"/>
  <c r="N8" i="28"/>
  <c r="P8" i="28" s="1"/>
  <c r="N31" i="27"/>
  <c r="P31" i="27" s="1"/>
  <c r="J31" i="28"/>
  <c r="L31" i="28" s="1"/>
  <c r="J12" i="29" l="1"/>
  <c r="L12" i="29" s="1"/>
  <c r="N12" i="28"/>
  <c r="P12" i="28" s="1"/>
  <c r="J30" i="29"/>
  <c r="L30" i="29" s="1"/>
  <c r="N30" i="28"/>
  <c r="P30" i="28" s="1"/>
  <c r="J28" i="30"/>
  <c r="L28" i="30" s="1"/>
  <c r="N28" i="29"/>
  <c r="P28" i="29" s="1"/>
  <c r="J10" i="29"/>
  <c r="L10" i="29" s="1"/>
  <c r="N10" i="28"/>
  <c r="P10" i="28" s="1"/>
  <c r="N6" i="28"/>
  <c r="P6" i="28" s="1"/>
  <c r="J6" i="29"/>
  <c r="L6" i="29" s="1"/>
  <c r="N9" i="30"/>
  <c r="P9" i="30" s="1"/>
  <c r="J9" i="31"/>
  <c r="L9" i="31" s="1"/>
  <c r="N9" i="31" s="1"/>
  <c r="P9" i="31" s="1"/>
  <c r="J31" i="29"/>
  <c r="L31" i="29" s="1"/>
  <c r="N31" i="28"/>
  <c r="P31" i="28" s="1"/>
  <c r="N7" i="28"/>
  <c r="P7" i="28" s="1"/>
  <c r="J7" i="29"/>
  <c r="L7" i="29" s="1"/>
  <c r="J8" i="30"/>
  <c r="L8" i="30" s="1"/>
  <c r="N8" i="29"/>
  <c r="P8" i="29" s="1"/>
  <c r="N29" i="28"/>
  <c r="P29" i="28" s="1"/>
  <c r="J29" i="29"/>
  <c r="L29" i="29" s="1"/>
  <c r="N11" i="28"/>
  <c r="P11" i="28" s="1"/>
  <c r="J11" i="29"/>
  <c r="L11" i="29" s="1"/>
  <c r="J10" i="30" l="1"/>
  <c r="L10" i="30" s="1"/>
  <c r="N10" i="29"/>
  <c r="P10" i="29" s="1"/>
  <c r="N31" i="29"/>
  <c r="P31" i="29" s="1"/>
  <c r="J31" i="30"/>
  <c r="L31" i="30" s="1"/>
  <c r="N11" i="29"/>
  <c r="P11" i="29" s="1"/>
  <c r="J11" i="30"/>
  <c r="L11" i="30" s="1"/>
  <c r="J30" i="30"/>
  <c r="L30" i="30" s="1"/>
  <c r="N30" i="29"/>
  <c r="P30" i="29" s="1"/>
  <c r="J28" i="31"/>
  <c r="L28" i="31" s="1"/>
  <c r="N28" i="31" s="1"/>
  <c r="P28" i="31" s="1"/>
  <c r="N28" i="30"/>
  <c r="P28" i="30" s="1"/>
  <c r="N7" i="29"/>
  <c r="P7" i="29" s="1"/>
  <c r="J7" i="30"/>
  <c r="L7" i="30" s="1"/>
  <c r="N6" i="29"/>
  <c r="P6" i="29" s="1"/>
  <c r="J6" i="30"/>
  <c r="L6" i="30" s="1"/>
  <c r="J29" i="30"/>
  <c r="L29" i="30" s="1"/>
  <c r="N29" i="29"/>
  <c r="P29" i="29" s="1"/>
  <c r="N8" i="30"/>
  <c r="P8" i="30" s="1"/>
  <c r="J8" i="31"/>
  <c r="L8" i="31" s="1"/>
  <c r="N8" i="31" s="1"/>
  <c r="P8" i="31" s="1"/>
  <c r="N12" i="29"/>
  <c r="P12" i="29" s="1"/>
  <c r="J12" i="30"/>
  <c r="L12" i="30" s="1"/>
  <c r="J30" i="31" l="1"/>
  <c r="L30" i="31" s="1"/>
  <c r="N30" i="31" s="1"/>
  <c r="P30" i="31" s="1"/>
  <c r="N30" i="30"/>
  <c r="P30" i="30" s="1"/>
  <c r="N29" i="30"/>
  <c r="P29" i="30" s="1"/>
  <c r="J29" i="31"/>
  <c r="L29" i="31" s="1"/>
  <c r="N29" i="31" s="1"/>
  <c r="P29" i="31" s="1"/>
  <c r="J7" i="31"/>
  <c r="L7" i="31" s="1"/>
  <c r="N7" i="31" s="1"/>
  <c r="P7" i="31" s="1"/>
  <c r="N7" i="30"/>
  <c r="P7" i="30" s="1"/>
  <c r="J6" i="31"/>
  <c r="L6" i="31" s="1"/>
  <c r="N6" i="31" s="1"/>
  <c r="P6" i="31" s="1"/>
  <c r="N6" i="30"/>
  <c r="P6" i="30" s="1"/>
  <c r="N11" i="30"/>
  <c r="P11" i="30" s="1"/>
  <c r="J11" i="31"/>
  <c r="L11" i="31" s="1"/>
  <c r="N11" i="31" s="1"/>
  <c r="P11" i="31" s="1"/>
  <c r="J12" i="31"/>
  <c r="L12" i="31" s="1"/>
  <c r="N12" i="31" s="1"/>
  <c r="P12" i="31" s="1"/>
  <c r="N12" i="30"/>
  <c r="P12" i="30" s="1"/>
  <c r="J31" i="31"/>
  <c r="L31" i="31" s="1"/>
  <c r="N31" i="31" s="1"/>
  <c r="P31" i="31" s="1"/>
  <c r="N31" i="30"/>
  <c r="P31" i="30" s="1"/>
  <c r="J10" i="31"/>
  <c r="L10" i="31" s="1"/>
  <c r="N10" i="31" s="1"/>
  <c r="P10" i="31" s="1"/>
  <c r="N10" i="30"/>
  <c r="P10" i="30" s="1"/>
</calcChain>
</file>

<file path=xl/sharedStrings.xml><?xml version="1.0" encoding="utf-8"?>
<sst xmlns="http://schemas.openxmlformats.org/spreadsheetml/2006/main" count="5425" uniqueCount="104">
  <si>
    <t>Rig No:</t>
  </si>
  <si>
    <t>Rig 50-02</t>
  </si>
  <si>
    <t>Daily Mechanical Report</t>
  </si>
  <si>
    <t>Date:</t>
  </si>
  <si>
    <t>01-08-2026</t>
  </si>
  <si>
    <t>Well No:</t>
  </si>
  <si>
    <t>PLAN</t>
  </si>
  <si>
    <t>Diesel Engines</t>
  </si>
  <si>
    <t>Sr No</t>
  </si>
  <si>
    <t>Equipment</t>
  </si>
  <si>
    <t>Make/Model</t>
  </si>
  <si>
    <t>M/C Serial No</t>
  </si>
  <si>
    <t>Is in Use</t>
  </si>
  <si>
    <t>Hours Run</t>
  </si>
  <si>
    <t>Lube Oil Pressure</t>
  </si>
  <si>
    <t>Lube Oil Added</t>
  </si>
  <si>
    <t>Opning Running HRS</t>
  </si>
  <si>
    <t>Total Run Hours</t>
  </si>
  <si>
    <t>Closing HRS</t>
  </si>
  <si>
    <t>Last Service Hours</t>
  </si>
  <si>
    <t>Running HRS after last service</t>
  </si>
  <si>
    <t>Define hours</t>
  </si>
  <si>
    <t>Hours Remaining For Next Service.</t>
  </si>
  <si>
    <t>Preventive /Predictive Maintenance Details</t>
  </si>
  <si>
    <t>Remarks</t>
  </si>
  <si>
    <t>LAST SERVICE DONE</t>
  </si>
  <si>
    <t>Yes/No</t>
  </si>
  <si>
    <t>DAY</t>
  </si>
  <si>
    <t>NIGHT</t>
  </si>
  <si>
    <t>psi/bar</t>
  </si>
  <si>
    <t>Liters</t>
  </si>
  <si>
    <t>Rig Engine</t>
  </si>
  <si>
    <t>CAT 09</t>
  </si>
  <si>
    <t>JSC08784</t>
  </si>
  <si>
    <t>Yes</t>
  </si>
  <si>
    <t/>
  </si>
  <si>
    <t>LAST SERVICE DONE @ 35028 HRS.
DT- 2026-07-01</t>
  </si>
  <si>
    <t>Rig Carrier Transmission</t>
  </si>
  <si>
    <t>8620008307</t>
  </si>
  <si>
    <t>LAST SERVICE DONE @ 35024 HRS.
DT- 2026-07-01</t>
  </si>
  <si>
    <t>Mud Pump Engine</t>
  </si>
  <si>
    <t>CAT 15</t>
  </si>
  <si>
    <t>BEM00178</t>
  </si>
  <si>
    <t>LAST SERVICE DONE @ 28330 HRS.
DT- 2026-07-01</t>
  </si>
  <si>
    <t>Mud pump transmission</t>
  </si>
  <si>
    <t>2901750</t>
  </si>
  <si>
    <t>Air Compressor Electrical</t>
  </si>
  <si>
    <t>KIRLOSKAR</t>
  </si>
  <si>
    <t>PT 300 T</t>
  </si>
  <si>
    <t>LAST SERVICE DONE @ -200 HRS.
DT- 2026-07-01</t>
  </si>
  <si>
    <t>Air Compressor Mechanical</t>
  </si>
  <si>
    <t>02.1281/2420149</t>
  </si>
  <si>
    <t>LAST SERVICE DONE @ 907 HRS.
DT- 2026-07-01</t>
  </si>
  <si>
    <t>Fire Pump</t>
  </si>
  <si>
    <t>4H.2709.20/1220003</t>
  </si>
  <si>
    <t>LAST SERVICE DONE @ 1553 HRS.
DT- 2026-07-01</t>
  </si>
  <si>
    <t>Generator</t>
  </si>
  <si>
    <t>Rig Site Generator Set 1, 125 KVA</t>
  </si>
  <si>
    <t>Cummins</t>
  </si>
  <si>
    <t>P84089603</t>
  </si>
  <si>
    <t>LAST SERVICE DONE @ 25366 HRS.
DT- 2026-07-01</t>
  </si>
  <si>
    <t>Rig Site Generator Set 2, 125 KVA</t>
  </si>
  <si>
    <t>P84089932</t>
  </si>
  <si>
    <t>LAST SERVICE DONE @ 27383 HRS.
DT- 2026-07-01</t>
  </si>
  <si>
    <t>Rig Site Generator Set 3, 15 KVA</t>
  </si>
  <si>
    <t>31295</t>
  </si>
  <si>
    <t>LAST SERVICE DONE @ 637 HRS.
DT- 2026-07-01</t>
  </si>
  <si>
    <t>DG-125 KVA SUPERNOVA</t>
  </si>
  <si>
    <t>SUPERNOVS</t>
  </si>
  <si>
    <t>SN-6003</t>
  </si>
  <si>
    <t>LAST SERVICE DONE @ 1049 HRS.
DT- 2026-07-01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</si>
  <si>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</si>
  <si>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</si>
  <si>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</si>
  <si>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</si>
  <si>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</si>
  <si>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</si>
  <si>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</si>
  <si>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</si>
  <si>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</si>
  <si>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</si>
  <si>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</si>
  <si>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</si>
  <si>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</si>
  <si>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</si>
  <si>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</si>
  <si>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</si>
  <si>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</si>
  <si>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</si>
  <si>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</si>
  <si>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</si>
  <si>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</si>
  <si>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</si>
  <si>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</si>
  <si>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</si>
  <si>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</si>
  <si>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</si>
  <si>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</si>
  <si>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</si>
  <si>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</si>
  <si>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</si>
  <si>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SUPERNOVA</t>
  </si>
  <si>
    <t>No</t>
  </si>
  <si>
    <t xml:space="preserve">
DT- 2026-07-01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</si>
</sst>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0"/>
      <name val="Arial"/>
    </font>
    <font>
      <b/>
      <u/>
      <sz val="14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sz val="14"/>
      <color rgb="FF000000"/>
      <name val="Calibri"/>
      <family val="2"/>
      <scheme val="minor"/>
    </font>
    <font>
      <sz val="14"/>
      <color rgb="FF000000"/>
      <name val="Calibri Light"/>
      <family val="2"/>
    </font>
    <font>
      <sz val="14"/>
      <color rgb="FF000000"/>
      <name val="Calibri"/>
      <family val="2"/>
      <charset val="134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DDEBF7"/>
      </patternFill>
    </fill>
    <fill>
      <patternFill patternType="solid">
        <fgColor rgb="FFFFD2D2"/>
      </patternFill>
    </fill>
    <fill>
      <patternFill patternType="solid">
        <fgColor rgb="FFFFFF00"/>
        <bgColor rgb="FF000000"/>
      </patternFill>
    </fill>
    <fill>
      <patternFill patternType="solid">
        <fgColor rgb="FFDCE6F1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4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>
        <v>35228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>
        <v>35224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>
        <v>28530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>
        <v>28530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>
        <v>0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>
        <v>1107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>
        <v>1753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>
        <v>25566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>
        <v>27583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>
        <v>837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>
        <v>1249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71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72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73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'3'!L6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'3'!L7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'3'!L8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'3'!L9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'3'!L10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'3'!L11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'3'!L12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'3'!L28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'3'!L29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'3'!L30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'3'!L31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74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'4'!L6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'4'!L7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'4'!L8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'4'!L9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'4'!L10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'4'!L11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'4'!L12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'4'!L28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'4'!L29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'4'!L30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'4'!L31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75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'5'!L6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'5'!L7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'5'!L8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'5'!L9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'5'!L10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'5'!L11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'5'!L12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'5'!L28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'5'!L29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'5'!L30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'5'!L31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76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'6'!L6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'6'!L7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'6'!L8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'6'!L9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'6'!L10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'6'!L11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'6'!L12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'6'!L28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'6'!L29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'6'!L30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'6'!L31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77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'7'!L6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'7'!L7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'7'!L8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'7'!L9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'7'!L10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'7'!L11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'7'!L12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'7'!L28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'7'!L29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'7'!L30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'7'!L31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78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'8'!L6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'8'!L7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'8'!L8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'8'!L9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'8'!L10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'8'!L11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'8'!L12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'8'!L28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'8'!L29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'8'!L30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'8'!L31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79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'9'!L6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'9'!L7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'9'!L8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'9'!L9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'9'!L10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'9'!L11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'9'!L12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'9'!L28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'9'!L29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'9'!L30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'9'!L31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80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'10'!L6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'10'!L7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'10'!L8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'10'!L9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'10'!L10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'10'!L11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'10'!L12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'10'!L28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'10'!L29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'10'!L30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'10'!L31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81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'11'!L6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'11'!L7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'11'!L8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'11'!L9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'11'!L10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'11'!L11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'11'!L12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'11'!L28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'11'!L29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'11'!L30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'11'!L31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82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'12'!L6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'12'!L7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'12'!L8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'12'!L9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'12'!L10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'12'!L11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'12'!L12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'12'!L28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'12'!L29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'12'!L30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'12'!L31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83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'13'!L6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'13'!L7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'13'!L8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'13'!L9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'13'!L10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'13'!L11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'13'!L12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'13'!L28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'13'!L29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'13'!L30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'13'!L31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84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'14'!L6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'14'!L7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'14'!L8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'14'!L9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'14'!L10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'14'!L11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'14'!L12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'14'!L28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'14'!L29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'14'!L30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'14'!L31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85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'15'!L6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'15'!L7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'15'!L8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'15'!L9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'15'!L10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'15'!L11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'15'!L12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'15'!L28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'15'!L29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'15'!L30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'15'!L31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86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'16'!L6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'16'!L7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'16'!L8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'16'!L9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'16'!L10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'16'!L11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'16'!L12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'16'!L28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'16'!L29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'16'!L30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'16'!L31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activeCell="R14" sqref="R14"/>
    </sheetView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87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 thickBo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 thickBot="1">
      <c r="A6" s="4">
        <v>1</v>
      </c>
      <c r="B6" s="4" t="s">
        <v>31</v>
      </c>
      <c r="C6" s="4" t="s">
        <v>32</v>
      </c>
      <c r="D6" s="17" t="s">
        <v>33</v>
      </c>
      <c r="E6" s="5" t="s">
        <v>34</v>
      </c>
      <c r="F6" s="13">
        <v>7</v>
      </c>
      <c r="G6" s="13">
        <v>3</v>
      </c>
      <c r="H6" s="5" t="s">
        <v>35</v>
      </c>
      <c r="I6" s="5" t="s">
        <v>35</v>
      </c>
      <c r="J6" s="18">
        <v>35218</v>
      </c>
      <c r="K6" s="4">
        <f t="shared" ref="K6:K12" si="0">F6+G6</f>
        <v>10</v>
      </c>
      <c r="L6" s="4">
        <f t="shared" ref="L6:L12" si="1">J6+K6</f>
        <v>35228</v>
      </c>
      <c r="M6" s="19">
        <v>34880</v>
      </c>
      <c r="N6" s="4">
        <f t="shared" ref="N6:N12" si="2">L6-M6</f>
        <v>348</v>
      </c>
      <c r="O6" s="20">
        <v>500</v>
      </c>
      <c r="P6" s="6">
        <f t="shared" ref="P6:P13" si="3">O6-N6</f>
        <v>152</v>
      </c>
      <c r="Q6" s="7" t="s">
        <v>35</v>
      </c>
      <c r="R6" s="8" t="s">
        <v>35</v>
      </c>
      <c r="S6" s="8" t="s">
        <v>103</v>
      </c>
    </row>
    <row r="7" spans="1:19" ht="44.1" customHeight="1" thickBot="1">
      <c r="A7" s="4">
        <v>2</v>
      </c>
      <c r="B7" s="4" t="s">
        <v>37</v>
      </c>
      <c r="C7" s="4" t="s">
        <v>32</v>
      </c>
      <c r="D7" s="17">
        <v>8620008307</v>
      </c>
      <c r="E7" s="5" t="s">
        <v>34</v>
      </c>
      <c r="F7" s="13">
        <v>7</v>
      </c>
      <c r="G7" s="13">
        <v>3</v>
      </c>
      <c r="H7" s="5" t="s">
        <v>35</v>
      </c>
      <c r="I7" s="5" t="s">
        <v>35</v>
      </c>
      <c r="J7" s="18">
        <v>35214</v>
      </c>
      <c r="K7" s="4">
        <f t="shared" si="0"/>
        <v>10</v>
      </c>
      <c r="L7" s="4">
        <f t="shared" si="1"/>
        <v>35224</v>
      </c>
      <c r="M7" s="19">
        <v>34597</v>
      </c>
      <c r="N7" s="4">
        <f t="shared" si="2"/>
        <v>627</v>
      </c>
      <c r="O7" s="21">
        <v>1000</v>
      </c>
      <c r="P7" s="6">
        <f t="shared" si="3"/>
        <v>373</v>
      </c>
      <c r="Q7" s="7" t="s">
        <v>35</v>
      </c>
      <c r="R7" s="8" t="s">
        <v>35</v>
      </c>
      <c r="S7" s="8" t="s">
        <v>103</v>
      </c>
    </row>
    <row r="8" spans="1:19" ht="44.1" customHeight="1" thickBot="1">
      <c r="A8" s="4">
        <v>3</v>
      </c>
      <c r="B8" s="4" t="s">
        <v>40</v>
      </c>
      <c r="C8" s="4" t="s">
        <v>41</v>
      </c>
      <c r="D8" s="17" t="s">
        <v>42</v>
      </c>
      <c r="E8" s="5" t="s">
        <v>34</v>
      </c>
      <c r="F8" s="14">
        <v>2</v>
      </c>
      <c r="G8" s="14">
        <v>0</v>
      </c>
      <c r="H8" s="5" t="s">
        <v>35</v>
      </c>
      <c r="I8" s="5" t="s">
        <v>35</v>
      </c>
      <c r="J8" s="18">
        <v>28528</v>
      </c>
      <c r="K8" s="4">
        <f t="shared" si="0"/>
        <v>2</v>
      </c>
      <c r="L8" s="4">
        <f t="shared" si="1"/>
        <v>28530</v>
      </c>
      <c r="M8" s="19">
        <v>28067</v>
      </c>
      <c r="N8" s="4">
        <f t="shared" si="2"/>
        <v>463</v>
      </c>
      <c r="O8" s="22">
        <v>500</v>
      </c>
      <c r="P8" s="6">
        <f t="shared" si="3"/>
        <v>37</v>
      </c>
      <c r="Q8" s="7" t="s">
        <v>35</v>
      </c>
      <c r="R8" s="8" t="s">
        <v>35</v>
      </c>
      <c r="S8" s="8" t="s">
        <v>103</v>
      </c>
    </row>
    <row r="9" spans="1:19" ht="44.1" customHeight="1" thickBot="1">
      <c r="A9" s="4">
        <v>4</v>
      </c>
      <c r="B9" s="4" t="s">
        <v>44</v>
      </c>
      <c r="C9" s="4" t="s">
        <v>41</v>
      </c>
      <c r="D9" s="17">
        <v>2901750</v>
      </c>
      <c r="E9" s="5" t="s">
        <v>34</v>
      </c>
      <c r="F9" s="14">
        <v>2</v>
      </c>
      <c r="G9" s="14">
        <v>0</v>
      </c>
      <c r="H9" s="5" t="s">
        <v>35</v>
      </c>
      <c r="I9" s="5" t="s">
        <v>35</v>
      </c>
      <c r="J9" s="18">
        <v>28528</v>
      </c>
      <c r="K9" s="4">
        <f t="shared" si="0"/>
        <v>2</v>
      </c>
      <c r="L9" s="4">
        <f t="shared" si="1"/>
        <v>28530</v>
      </c>
      <c r="M9" s="19">
        <v>27476</v>
      </c>
      <c r="N9" s="4">
        <f t="shared" si="2"/>
        <v>1054</v>
      </c>
      <c r="O9" s="22">
        <v>1000</v>
      </c>
      <c r="P9" s="6">
        <f t="shared" si="3"/>
        <v>-54</v>
      </c>
      <c r="Q9" s="7" t="s">
        <v>35</v>
      </c>
      <c r="R9" s="8" t="s">
        <v>35</v>
      </c>
      <c r="S9" s="8" t="s">
        <v>103</v>
      </c>
    </row>
    <row r="10" spans="1:19" ht="44.1" customHeight="1" thickBot="1">
      <c r="A10" s="4">
        <v>5</v>
      </c>
      <c r="B10" s="4" t="s">
        <v>46</v>
      </c>
      <c r="C10" s="4" t="s">
        <v>47</v>
      </c>
      <c r="D10" s="17" t="s">
        <v>48</v>
      </c>
      <c r="E10" s="5" t="s">
        <v>102</v>
      </c>
      <c r="F10" s="14">
        <v>0</v>
      </c>
      <c r="G10" s="14">
        <v>0</v>
      </c>
      <c r="H10" s="5" t="s">
        <v>35</v>
      </c>
      <c r="I10" s="5" t="s">
        <v>35</v>
      </c>
      <c r="J10" s="18">
        <v>0</v>
      </c>
      <c r="K10" s="4">
        <f t="shared" si="0"/>
        <v>0</v>
      </c>
      <c r="L10" s="4">
        <f t="shared" si="1"/>
        <v>0</v>
      </c>
      <c r="M10" s="19">
        <v>0</v>
      </c>
      <c r="N10" s="4">
        <f t="shared" si="2"/>
        <v>0</v>
      </c>
      <c r="O10" s="23">
        <v>1500</v>
      </c>
      <c r="P10" s="6">
        <f t="shared" si="3"/>
        <v>1500</v>
      </c>
      <c r="Q10" s="7" t="s">
        <v>35</v>
      </c>
      <c r="R10" s="8" t="s">
        <v>35</v>
      </c>
      <c r="S10" s="8" t="s">
        <v>103</v>
      </c>
    </row>
    <row r="11" spans="1:19" ht="44.1" customHeight="1" thickBot="1">
      <c r="A11" s="4">
        <v>6</v>
      </c>
      <c r="B11" s="4" t="s">
        <v>50</v>
      </c>
      <c r="C11" s="4" t="s">
        <v>47</v>
      </c>
      <c r="D11" s="17" t="s">
        <v>51</v>
      </c>
      <c r="E11" s="5" t="s">
        <v>34</v>
      </c>
      <c r="F11" s="14">
        <v>1</v>
      </c>
      <c r="G11" s="14">
        <v>2</v>
      </c>
      <c r="H11" s="5" t="s">
        <v>35</v>
      </c>
      <c r="I11" s="5" t="s">
        <v>35</v>
      </c>
      <c r="J11" s="18">
        <v>1104</v>
      </c>
      <c r="K11" s="4">
        <f t="shared" si="0"/>
        <v>3</v>
      </c>
      <c r="L11" s="4">
        <f t="shared" si="1"/>
        <v>1107</v>
      </c>
      <c r="M11" s="19">
        <v>500</v>
      </c>
      <c r="N11" s="4">
        <f t="shared" si="2"/>
        <v>607</v>
      </c>
      <c r="O11" s="23">
        <v>1500</v>
      </c>
      <c r="P11" s="6">
        <f t="shared" si="3"/>
        <v>893</v>
      </c>
      <c r="Q11" s="7" t="s">
        <v>35</v>
      </c>
      <c r="R11" s="8" t="s">
        <v>35</v>
      </c>
      <c r="S11" s="8" t="s">
        <v>103</v>
      </c>
    </row>
    <row r="12" spans="1:19" ht="44.1" customHeight="1" thickBot="1">
      <c r="A12" s="4">
        <v>7</v>
      </c>
      <c r="B12" s="4" t="s">
        <v>53</v>
      </c>
      <c r="C12" s="4" t="s">
        <v>47</v>
      </c>
      <c r="D12" s="17" t="s">
        <v>54</v>
      </c>
      <c r="E12" s="5" t="s">
        <v>34</v>
      </c>
      <c r="F12" s="14">
        <v>1</v>
      </c>
      <c r="G12" s="14">
        <v>0</v>
      </c>
      <c r="H12" s="5" t="s">
        <v>35</v>
      </c>
      <c r="I12" s="5" t="s">
        <v>35</v>
      </c>
      <c r="J12" s="18">
        <v>1752</v>
      </c>
      <c r="K12" s="4">
        <f t="shared" si="0"/>
        <v>1</v>
      </c>
      <c r="L12" s="4">
        <f t="shared" si="1"/>
        <v>1753</v>
      </c>
      <c r="M12" s="19">
        <v>1523</v>
      </c>
      <c r="N12" s="4">
        <f t="shared" si="2"/>
        <v>230</v>
      </c>
      <c r="O12" s="23">
        <v>500</v>
      </c>
      <c r="P12" s="6">
        <f t="shared" si="3"/>
        <v>270</v>
      </c>
      <c r="Q12" s="7" t="s">
        <v>35</v>
      </c>
      <c r="R12" s="8" t="s">
        <v>35</v>
      </c>
      <c r="S12" s="8" t="s">
        <v>103</v>
      </c>
    </row>
    <row r="13" spans="1:19" ht="37.5">
      <c r="A13" s="16">
        <v>8</v>
      </c>
      <c r="B13" s="14" t="s">
        <v>67</v>
      </c>
      <c r="C13" s="15" t="s">
        <v>101</v>
      </c>
      <c r="F13" s="14">
        <v>12</v>
      </c>
      <c r="G13" s="14">
        <v>0</v>
      </c>
      <c r="J13" s="18">
        <v>37</v>
      </c>
      <c r="K13" s="4">
        <f t="shared" ref="K13" si="4">F13+G13</f>
        <v>12</v>
      </c>
      <c r="L13" s="4">
        <f t="shared" ref="L13" si="5">J13+K13</f>
        <v>49</v>
      </c>
      <c r="M13" s="19">
        <v>0</v>
      </c>
      <c r="N13" s="4">
        <f t="shared" ref="N13" si="6">L13-M13</f>
        <v>49</v>
      </c>
      <c r="O13" s="24">
        <v>500</v>
      </c>
      <c r="P13" s="6">
        <f t="shared" si="3"/>
        <v>451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 thickBo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 thickBo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13">
        <v>0</v>
      </c>
      <c r="G28" s="13">
        <v>0</v>
      </c>
      <c r="H28" s="5" t="s">
        <v>35</v>
      </c>
      <c r="I28" s="5" t="s">
        <v>35</v>
      </c>
      <c r="J28" s="18">
        <v>25556</v>
      </c>
      <c r="K28" s="4">
        <f>F28+G28</f>
        <v>0</v>
      </c>
      <c r="L28" s="4">
        <f>J28+K28</f>
        <v>25556</v>
      </c>
      <c r="M28" s="6">
        <v>25366</v>
      </c>
      <c r="N28" s="4">
        <f>L28-M28</f>
        <v>190</v>
      </c>
      <c r="O28" s="4">
        <v>500</v>
      </c>
      <c r="P28" s="6">
        <f>O28-N28</f>
        <v>310</v>
      </c>
      <c r="Q28" s="7" t="s">
        <v>35</v>
      </c>
      <c r="R28" s="8" t="s">
        <v>35</v>
      </c>
      <c r="S28" s="8" t="s">
        <v>60</v>
      </c>
    </row>
    <row r="29" spans="1:19" ht="44.1" customHeight="1" thickBo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14">
        <v>0</v>
      </c>
      <c r="G29" s="14">
        <v>12</v>
      </c>
      <c r="H29" s="5" t="s">
        <v>35</v>
      </c>
      <c r="I29" s="5" t="s">
        <v>35</v>
      </c>
      <c r="J29" s="18">
        <v>27561</v>
      </c>
      <c r="K29" s="4">
        <f>F29+G29</f>
        <v>12</v>
      </c>
      <c r="L29" s="4">
        <f>J29+K29</f>
        <v>27573</v>
      </c>
      <c r="M29" s="6">
        <v>27383</v>
      </c>
      <c r="N29" s="4">
        <f>L29-M29</f>
        <v>190</v>
      </c>
      <c r="O29" s="4">
        <v>500</v>
      </c>
      <c r="P29" s="6">
        <f>O29-N29</f>
        <v>310</v>
      </c>
      <c r="Q29" s="7" t="s">
        <v>35</v>
      </c>
      <c r="R29" s="8" t="s">
        <v>35</v>
      </c>
      <c r="S29" s="8" t="s">
        <v>63</v>
      </c>
    </row>
    <row r="30" spans="1:19" ht="44.1" customHeight="1" thickBo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25">
        <v>0</v>
      </c>
      <c r="G30" s="25">
        <v>0</v>
      </c>
      <c r="H30" s="5" t="s">
        <v>35</v>
      </c>
      <c r="I30" s="5" t="s">
        <v>35</v>
      </c>
      <c r="J30" s="18">
        <v>837</v>
      </c>
      <c r="K30" s="4">
        <f>F30+G30</f>
        <v>0</v>
      </c>
      <c r="L30" s="4">
        <f>J30+K30</f>
        <v>837</v>
      </c>
      <c r="M30" s="6">
        <v>637</v>
      </c>
      <c r="N30" s="4">
        <f>L30-M30</f>
        <v>200</v>
      </c>
      <c r="O30" s="4">
        <v>500</v>
      </c>
      <c r="P30" s="6">
        <f>O30-N30</f>
        <v>300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/>
      <c r="B31" s="4"/>
      <c r="C31" s="4"/>
      <c r="D31" s="4"/>
      <c r="E31" s="5"/>
      <c r="F31" s="5"/>
      <c r="G31" s="5"/>
      <c r="H31" s="5"/>
      <c r="I31" s="5"/>
      <c r="J31" s="4"/>
      <c r="K31" s="4"/>
      <c r="L31" s="4"/>
      <c r="M31" s="6"/>
      <c r="N31" s="4"/>
      <c r="O31" s="4"/>
      <c r="P31" s="6"/>
      <c r="Q31" s="7"/>
      <c r="R31" s="8"/>
      <c r="S31" s="8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88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>
        <f>'18'!L6</f>
        <v>35228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>
        <f>'18'!L7</f>
        <v>35224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>
        <f>'18'!L8</f>
        <v>28530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>
        <f>'18'!L9</f>
        <v>28530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>
        <f>'18'!L10</f>
        <v>0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>
        <f>'18'!L11</f>
        <v>1107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>
        <f>'18'!L12</f>
        <v>1753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>
        <f>'18'!L28</f>
        <v>25556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>
        <f>'18'!L29</f>
        <v>27573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>
        <f>'18'!L30</f>
        <v>837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>
        <f>'18'!L31</f>
        <v>0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89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'19'!L6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'19'!L7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'19'!L8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'19'!L9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'19'!L10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'19'!L11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'19'!L12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'19'!L28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'19'!L29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'19'!L30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'19'!L31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90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'20'!L6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'20'!L7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'20'!L8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'20'!L9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'20'!L10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'20'!L11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'20'!L12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'20'!L28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'20'!L29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'20'!L30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'20'!L31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91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'21'!L6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'21'!L7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'21'!L8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'21'!L9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'21'!L10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'21'!L11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'21'!L12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'21'!L28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'21'!L29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'21'!L30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'21'!L31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92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'22'!L6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'22'!L7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'22'!L8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'22'!L9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'22'!L10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'22'!L11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'22'!L12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'22'!L28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'22'!L29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'22'!L30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'22'!L31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93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'23'!L6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'23'!L7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'23'!L8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'23'!L9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'23'!L10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'23'!L11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'23'!L12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'23'!L28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'23'!L29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'23'!L30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'23'!L31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94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'24'!L6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'24'!L7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'24'!L8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'24'!L9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'24'!L10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'24'!L11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'24'!L12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'24'!L28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'24'!L29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'24'!L30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'24'!L31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95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'25'!L6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'25'!L7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'25'!L8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'25'!L9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'25'!L10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'25'!L11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'25'!L12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'25'!L28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'25'!L29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'25'!L30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'25'!L31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96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'26'!L6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'26'!L7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'26'!L8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'26'!L9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'26'!L10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'26'!L11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'26'!L12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'26'!L28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'26'!L29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'26'!L30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'26'!L31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97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'27'!L6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'27'!L7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'27'!L8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'27'!L9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'27'!L10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'27'!L11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'27'!L12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'27'!L28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'27'!L29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'27'!L30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'27'!L31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98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'28'!L6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'28'!L7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'28'!L8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'28'!L9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'28'!L10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'28'!L11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'28'!L12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'28'!L28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'28'!L29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'28'!L30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'28'!L31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99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'29'!L6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'29'!L7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'29'!L8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'29'!L9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'29'!L10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'29'!L11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'29'!L12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'29'!L28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'29'!L29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'29'!L30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'29'!L31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/>
  </sheetViews>
  <sheetFormatPr defaultRowHeight="1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>
      <c r="A1" s="1" t="s">
        <v>0</v>
      </c>
      <c r="B1" s="2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 t="s">
        <v>3</v>
      </c>
      <c r="Q1" s="10" t="s">
        <v>100</v>
      </c>
      <c r="R1" s="10"/>
      <c r="S1" s="10"/>
    </row>
    <row r="2" spans="1:19" ht="21.95" customHeight="1">
      <c r="A2" s="1" t="s">
        <v>5</v>
      </c>
      <c r="B2" s="2" t="s">
        <v>6</v>
      </c>
    </row>
    <row r="3" spans="1:19" ht="20.100000000000001" customHeight="1">
      <c r="A3" s="11" t="s">
        <v>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24" customHeight="1">
      <c r="A4" s="12" t="s">
        <v>8</v>
      </c>
      <c r="B4" s="12" t="s">
        <v>9</v>
      </c>
      <c r="C4" s="12" t="s">
        <v>10</v>
      </c>
      <c r="D4" s="12" t="s">
        <v>11</v>
      </c>
      <c r="E4" s="3" t="s">
        <v>12</v>
      </c>
      <c r="F4" s="12" t="s">
        <v>13</v>
      </c>
      <c r="G4" s="12"/>
      <c r="H4" s="3" t="s">
        <v>14</v>
      </c>
      <c r="I4" s="3" t="s">
        <v>15</v>
      </c>
      <c r="J4" s="12" t="s">
        <v>16</v>
      </c>
      <c r="K4" s="12" t="s">
        <v>17</v>
      </c>
      <c r="L4" s="12" t="s">
        <v>18</v>
      </c>
      <c r="M4" s="12" t="s">
        <v>19</v>
      </c>
      <c r="N4" s="12" t="s">
        <v>20</v>
      </c>
      <c r="O4" s="12" t="s">
        <v>21</v>
      </c>
      <c r="P4" s="12" t="s">
        <v>22</v>
      </c>
      <c r="Q4" s="12" t="s">
        <v>23</v>
      </c>
      <c r="R4" s="12" t="s">
        <v>24</v>
      </c>
      <c r="S4" s="12" t="s">
        <v>25</v>
      </c>
    </row>
    <row r="5" spans="1:19" ht="24" customHeight="1">
      <c r="A5" s="12"/>
      <c r="B5" s="12"/>
      <c r="C5" s="12"/>
      <c r="D5" s="12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44.1" customHeight="1">
      <c r="A6" s="4">
        <v>1</v>
      </c>
      <c r="B6" s="4" t="s">
        <v>31</v>
      </c>
      <c r="C6" s="4" t="s">
        <v>32</v>
      </c>
      <c r="D6" s="4" t="s">
        <v>33</v>
      </c>
      <c r="E6" s="5" t="s">
        <v>34</v>
      </c>
      <c r="F6" s="5" t="s">
        <v>35</v>
      </c>
      <c r="G6" s="5" t="s">
        <v>35</v>
      </c>
      <c r="H6" s="5" t="s">
        <v>35</v>
      </c>
      <c r="I6" s="5" t="s">
        <v>35</v>
      </c>
      <c r="J6" s="4" t="e">
        <f>'30'!L6</f>
        <v>#VALUE!</v>
      </c>
      <c r="K6" s="4" t="e">
        <f t="shared" ref="K6:K12" si="0">F6+G6</f>
        <v>#VALUE!</v>
      </c>
      <c r="L6" s="4" t="e">
        <f t="shared" ref="L6:L12" si="1">J6+K6</f>
        <v>#VALUE!</v>
      </c>
      <c r="M6" s="6">
        <v>35028</v>
      </c>
      <c r="N6" s="4" t="e">
        <f t="shared" ref="N6:N12" si="2">L6-M6</f>
        <v>#VALUE!</v>
      </c>
      <c r="O6" s="4">
        <v>500</v>
      </c>
      <c r="P6" s="6" t="e">
        <f t="shared" ref="P6:P12" si="3">O6-N6</f>
        <v>#VALUE!</v>
      </c>
      <c r="Q6" s="7" t="s">
        <v>35</v>
      </c>
      <c r="R6" s="8" t="s">
        <v>35</v>
      </c>
      <c r="S6" s="8" t="s">
        <v>36</v>
      </c>
    </row>
    <row r="7" spans="1:19" ht="44.1" customHeight="1">
      <c r="A7" s="4">
        <v>2</v>
      </c>
      <c r="B7" s="4" t="s">
        <v>37</v>
      </c>
      <c r="C7" s="4" t="s">
        <v>32</v>
      </c>
      <c r="D7" s="4" t="s">
        <v>38</v>
      </c>
      <c r="E7" s="5" t="s">
        <v>34</v>
      </c>
      <c r="F7" s="5" t="s">
        <v>35</v>
      </c>
      <c r="G7" s="5" t="s">
        <v>35</v>
      </c>
      <c r="H7" s="5" t="s">
        <v>35</v>
      </c>
      <c r="I7" s="5" t="s">
        <v>35</v>
      </c>
      <c r="J7" s="4" t="e">
        <f>'30'!L7</f>
        <v>#VALUE!</v>
      </c>
      <c r="K7" s="4" t="e">
        <f t="shared" si="0"/>
        <v>#VALUE!</v>
      </c>
      <c r="L7" s="4" t="e">
        <f t="shared" si="1"/>
        <v>#VALUE!</v>
      </c>
      <c r="M7" s="6">
        <v>35024</v>
      </c>
      <c r="N7" s="4" t="e">
        <f t="shared" si="2"/>
        <v>#VALUE!</v>
      </c>
      <c r="O7" s="4">
        <v>500</v>
      </c>
      <c r="P7" s="6" t="e">
        <f t="shared" si="3"/>
        <v>#VALUE!</v>
      </c>
      <c r="Q7" s="7" t="s">
        <v>35</v>
      </c>
      <c r="R7" s="8" t="s">
        <v>35</v>
      </c>
      <c r="S7" s="8" t="s">
        <v>39</v>
      </c>
    </row>
    <row r="8" spans="1:19" ht="44.1" customHeight="1">
      <c r="A8" s="4">
        <v>3</v>
      </c>
      <c r="B8" s="4" t="s">
        <v>40</v>
      </c>
      <c r="C8" s="4" t="s">
        <v>41</v>
      </c>
      <c r="D8" s="4" t="s">
        <v>42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35</v>
      </c>
      <c r="J8" s="4" t="e">
        <f>'30'!L8</f>
        <v>#VALUE!</v>
      </c>
      <c r="K8" s="4" t="e">
        <f t="shared" si="0"/>
        <v>#VALUE!</v>
      </c>
      <c r="L8" s="4" t="e">
        <f t="shared" si="1"/>
        <v>#VALUE!</v>
      </c>
      <c r="M8" s="6">
        <v>28330</v>
      </c>
      <c r="N8" s="4" t="e">
        <f t="shared" si="2"/>
        <v>#VALUE!</v>
      </c>
      <c r="O8" s="4">
        <v>1500</v>
      </c>
      <c r="P8" s="6" t="e">
        <f t="shared" si="3"/>
        <v>#VALUE!</v>
      </c>
      <c r="Q8" s="7" t="s">
        <v>35</v>
      </c>
      <c r="R8" s="8" t="s">
        <v>35</v>
      </c>
      <c r="S8" s="8" t="s">
        <v>43</v>
      </c>
    </row>
    <row r="9" spans="1:19" ht="44.1" customHeight="1">
      <c r="A9" s="4">
        <v>4</v>
      </c>
      <c r="B9" s="4" t="s">
        <v>44</v>
      </c>
      <c r="C9" s="4" t="s">
        <v>41</v>
      </c>
      <c r="D9" s="4" t="s">
        <v>45</v>
      </c>
      <c r="E9" s="5" t="s">
        <v>34</v>
      </c>
      <c r="F9" s="5" t="s">
        <v>35</v>
      </c>
      <c r="G9" s="5" t="s">
        <v>35</v>
      </c>
      <c r="H9" s="5" t="s">
        <v>35</v>
      </c>
      <c r="I9" s="5" t="s">
        <v>35</v>
      </c>
      <c r="J9" s="4" t="e">
        <f>'30'!L9</f>
        <v>#VALUE!</v>
      </c>
      <c r="K9" s="4" t="e">
        <f t="shared" si="0"/>
        <v>#VALUE!</v>
      </c>
      <c r="L9" s="4" t="e">
        <f t="shared" si="1"/>
        <v>#VALUE!</v>
      </c>
      <c r="M9" s="6">
        <v>28330</v>
      </c>
      <c r="N9" s="4" t="e">
        <f t="shared" si="2"/>
        <v>#VALUE!</v>
      </c>
      <c r="O9" s="4">
        <v>1500</v>
      </c>
      <c r="P9" s="6" t="e">
        <f t="shared" si="3"/>
        <v>#VALUE!</v>
      </c>
      <c r="Q9" s="7" t="s">
        <v>35</v>
      </c>
      <c r="R9" s="8" t="s">
        <v>35</v>
      </c>
      <c r="S9" s="8" t="s">
        <v>43</v>
      </c>
    </row>
    <row r="10" spans="1:19" ht="44.1" customHeight="1">
      <c r="A10" s="4">
        <v>5</v>
      </c>
      <c r="B10" s="4" t="s">
        <v>46</v>
      </c>
      <c r="C10" s="4" t="s">
        <v>47</v>
      </c>
      <c r="D10" s="4" t="s">
        <v>48</v>
      </c>
      <c r="E10" s="5" t="s">
        <v>34</v>
      </c>
      <c r="F10" s="5" t="s">
        <v>35</v>
      </c>
      <c r="G10" s="5" t="s">
        <v>35</v>
      </c>
      <c r="H10" s="5" t="s">
        <v>35</v>
      </c>
      <c r="I10" s="5" t="s">
        <v>35</v>
      </c>
      <c r="J10" s="4" t="e">
        <f>'30'!L10</f>
        <v>#VALUE!</v>
      </c>
      <c r="K10" s="4" t="e">
        <f t="shared" si="0"/>
        <v>#VALUE!</v>
      </c>
      <c r="L10" s="4" t="e">
        <f t="shared" si="1"/>
        <v>#VALUE!</v>
      </c>
      <c r="M10" s="6">
        <v>-200</v>
      </c>
      <c r="N10" s="4" t="e">
        <f t="shared" si="2"/>
        <v>#VALUE!</v>
      </c>
      <c r="O10" s="4">
        <v>500</v>
      </c>
      <c r="P10" s="6" t="e">
        <f t="shared" si="3"/>
        <v>#VALUE!</v>
      </c>
      <c r="Q10" s="7" t="s">
        <v>35</v>
      </c>
      <c r="R10" s="8" t="s">
        <v>35</v>
      </c>
      <c r="S10" s="8" t="s">
        <v>49</v>
      </c>
    </row>
    <row r="11" spans="1:19" ht="44.1" customHeight="1">
      <c r="A11" s="4">
        <v>6</v>
      </c>
      <c r="B11" s="4" t="s">
        <v>50</v>
      </c>
      <c r="C11" s="4" t="s">
        <v>47</v>
      </c>
      <c r="D11" s="4" t="s">
        <v>51</v>
      </c>
      <c r="E11" s="5" t="s">
        <v>34</v>
      </c>
      <c r="F11" s="5" t="s">
        <v>35</v>
      </c>
      <c r="G11" s="5" t="s">
        <v>35</v>
      </c>
      <c r="H11" s="5" t="s">
        <v>35</v>
      </c>
      <c r="I11" s="5" t="s">
        <v>35</v>
      </c>
      <c r="J11" s="4" t="e">
        <f>'30'!L11</f>
        <v>#VALUE!</v>
      </c>
      <c r="K11" s="4" t="e">
        <f t="shared" si="0"/>
        <v>#VALUE!</v>
      </c>
      <c r="L11" s="4" t="e">
        <f t="shared" si="1"/>
        <v>#VALUE!</v>
      </c>
      <c r="M11" s="6">
        <v>907</v>
      </c>
      <c r="N11" s="4" t="e">
        <f t="shared" si="2"/>
        <v>#VALUE!</v>
      </c>
      <c r="O11" s="4">
        <v>500</v>
      </c>
      <c r="P11" s="6" t="e">
        <f t="shared" si="3"/>
        <v>#VALUE!</v>
      </c>
      <c r="Q11" s="7" t="s">
        <v>35</v>
      </c>
      <c r="R11" s="8" t="s">
        <v>35</v>
      </c>
      <c r="S11" s="8" t="s">
        <v>52</v>
      </c>
    </row>
    <row r="12" spans="1:19" ht="44.1" customHeight="1">
      <c r="A12" s="4">
        <v>7</v>
      </c>
      <c r="B12" s="4" t="s">
        <v>53</v>
      </c>
      <c r="C12" s="4" t="s">
        <v>47</v>
      </c>
      <c r="D12" s="4" t="s">
        <v>54</v>
      </c>
      <c r="E12" s="5" t="s">
        <v>34</v>
      </c>
      <c r="F12" s="5" t="s">
        <v>35</v>
      </c>
      <c r="G12" s="5" t="s">
        <v>35</v>
      </c>
      <c r="H12" s="5" t="s">
        <v>35</v>
      </c>
      <c r="I12" s="5" t="s">
        <v>35</v>
      </c>
      <c r="J12" s="4" t="e">
        <f>'30'!L12</f>
        <v>#VALUE!</v>
      </c>
      <c r="K12" s="4" t="e">
        <f t="shared" si="0"/>
        <v>#VALUE!</v>
      </c>
      <c r="L12" s="4" t="e">
        <f t="shared" si="1"/>
        <v>#VALUE!</v>
      </c>
      <c r="M12" s="6">
        <v>1553</v>
      </c>
      <c r="N12" s="4" t="e">
        <f t="shared" si="2"/>
        <v>#VALUE!</v>
      </c>
      <c r="O12" s="4">
        <v>1500</v>
      </c>
      <c r="P12" s="6" t="e">
        <f t="shared" si="3"/>
        <v>#VALUE!</v>
      </c>
      <c r="Q12" s="7" t="s">
        <v>35</v>
      </c>
      <c r="R12" s="8" t="s">
        <v>35</v>
      </c>
      <c r="S12" s="8" t="s">
        <v>55</v>
      </c>
    </row>
    <row r="25" spans="1:19" ht="20.100000000000001" customHeight="1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ht="24" customHeight="1">
      <c r="A26" s="12" t="s">
        <v>8</v>
      </c>
      <c r="B26" s="12" t="s">
        <v>9</v>
      </c>
      <c r="C26" s="12" t="s">
        <v>10</v>
      </c>
      <c r="D26" s="12" t="s">
        <v>11</v>
      </c>
      <c r="E26" s="3" t="s">
        <v>12</v>
      </c>
      <c r="F26" s="12" t="s">
        <v>13</v>
      </c>
      <c r="G26" s="12"/>
      <c r="H26" s="3" t="s">
        <v>14</v>
      </c>
      <c r="I26" s="3" t="s">
        <v>15</v>
      </c>
      <c r="J26" s="12" t="s">
        <v>16</v>
      </c>
      <c r="K26" s="12" t="s">
        <v>17</v>
      </c>
      <c r="L26" s="12" t="s">
        <v>18</v>
      </c>
      <c r="M26" s="12" t="s">
        <v>19</v>
      </c>
      <c r="N26" s="12" t="s">
        <v>20</v>
      </c>
      <c r="O26" s="12" t="s">
        <v>21</v>
      </c>
      <c r="P26" s="12" t="s">
        <v>22</v>
      </c>
      <c r="Q26" s="12" t="s">
        <v>23</v>
      </c>
      <c r="R26" s="12" t="s">
        <v>24</v>
      </c>
      <c r="S26" s="12" t="s">
        <v>25</v>
      </c>
    </row>
    <row r="27" spans="1:19" ht="24" customHeight="1">
      <c r="A27" s="12"/>
      <c r="B27" s="12"/>
      <c r="C27" s="12"/>
      <c r="D27" s="12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44.1" customHeight="1">
      <c r="A28" s="4">
        <v>1</v>
      </c>
      <c r="B28" s="4" t="s">
        <v>57</v>
      </c>
      <c r="C28" s="4" t="s">
        <v>58</v>
      </c>
      <c r="D28" s="4" t="s">
        <v>59</v>
      </c>
      <c r="E28" s="5" t="s">
        <v>34</v>
      </c>
      <c r="F28" s="5" t="s">
        <v>35</v>
      </c>
      <c r="G28" s="5" t="s">
        <v>35</v>
      </c>
      <c r="H28" s="5" t="s">
        <v>35</v>
      </c>
      <c r="I28" s="5" t="s">
        <v>35</v>
      </c>
      <c r="J28" s="4" t="e">
        <f>'30'!L28</f>
        <v>#VALUE!</v>
      </c>
      <c r="K28" s="4" t="e">
        <f>F28+G28</f>
        <v>#VALUE!</v>
      </c>
      <c r="L28" s="4" t="e">
        <f>J28+K28</f>
        <v>#VALUE!</v>
      </c>
      <c r="M28" s="6">
        <v>25366</v>
      </c>
      <c r="N28" s="4" t="e">
        <f>L28-M28</f>
        <v>#VALUE!</v>
      </c>
      <c r="O28" s="4">
        <v>500</v>
      </c>
      <c r="P28" s="6" t="e">
        <f>O28-N28</f>
        <v>#VALUE!</v>
      </c>
      <c r="Q28" s="7" t="s">
        <v>35</v>
      </c>
      <c r="R28" s="8" t="s">
        <v>35</v>
      </c>
      <c r="S28" s="8" t="s">
        <v>60</v>
      </c>
    </row>
    <row r="29" spans="1:19" ht="44.1" customHeight="1">
      <c r="A29" s="4">
        <v>2</v>
      </c>
      <c r="B29" s="4" t="s">
        <v>61</v>
      </c>
      <c r="C29" s="4" t="s">
        <v>58</v>
      </c>
      <c r="D29" s="4" t="s">
        <v>62</v>
      </c>
      <c r="E29" s="5" t="s">
        <v>34</v>
      </c>
      <c r="F29" s="5" t="s">
        <v>35</v>
      </c>
      <c r="G29" s="5" t="s">
        <v>35</v>
      </c>
      <c r="H29" s="5" t="s">
        <v>35</v>
      </c>
      <c r="I29" s="5" t="s">
        <v>35</v>
      </c>
      <c r="J29" s="4" t="e">
        <f>'30'!L29</f>
        <v>#VALUE!</v>
      </c>
      <c r="K29" s="4" t="e">
        <f>F29+G29</f>
        <v>#VALUE!</v>
      </c>
      <c r="L29" s="4" t="e">
        <f>J29+K29</f>
        <v>#VALUE!</v>
      </c>
      <c r="M29" s="6">
        <v>27383</v>
      </c>
      <c r="N29" s="4" t="e">
        <f>L29-M29</f>
        <v>#VALUE!</v>
      </c>
      <c r="O29" s="4">
        <v>500</v>
      </c>
      <c r="P29" s="6" t="e">
        <f>O29-N29</f>
        <v>#VALUE!</v>
      </c>
      <c r="Q29" s="7" t="s">
        <v>35</v>
      </c>
      <c r="R29" s="8" t="s">
        <v>35</v>
      </c>
      <c r="S29" s="8" t="s">
        <v>63</v>
      </c>
    </row>
    <row r="30" spans="1:19" ht="44.1" customHeight="1">
      <c r="A30" s="4">
        <v>3</v>
      </c>
      <c r="B30" s="4" t="s">
        <v>64</v>
      </c>
      <c r="C30" s="4" t="s">
        <v>58</v>
      </c>
      <c r="D30" s="4" t="s">
        <v>65</v>
      </c>
      <c r="E30" s="5" t="s">
        <v>34</v>
      </c>
      <c r="F30" s="5" t="s">
        <v>35</v>
      </c>
      <c r="G30" s="5" t="s">
        <v>35</v>
      </c>
      <c r="H30" s="5" t="s">
        <v>35</v>
      </c>
      <c r="I30" s="5" t="s">
        <v>35</v>
      </c>
      <c r="J30" s="4" t="e">
        <f>'30'!L30</f>
        <v>#VALUE!</v>
      </c>
      <c r="K30" s="4" t="e">
        <f>F30+G30</f>
        <v>#VALUE!</v>
      </c>
      <c r="L30" s="4" t="e">
        <f>J30+K30</f>
        <v>#VALUE!</v>
      </c>
      <c r="M30" s="6">
        <v>637</v>
      </c>
      <c r="N30" s="4" t="e">
        <f>L30-M30</f>
        <v>#VALUE!</v>
      </c>
      <c r="O30" s="4">
        <v>500</v>
      </c>
      <c r="P30" s="6" t="e">
        <f>O30-N30</f>
        <v>#VALUE!</v>
      </c>
      <c r="Q30" s="7" t="s">
        <v>35</v>
      </c>
      <c r="R30" s="8" t="s">
        <v>35</v>
      </c>
      <c r="S30" s="8" t="s">
        <v>66</v>
      </c>
    </row>
    <row r="31" spans="1:19" ht="44.1" customHeight="1">
      <c r="A31" s="4">
        <v>4</v>
      </c>
      <c r="B31" s="4" t="s">
        <v>67</v>
      </c>
      <c r="C31" s="4" t="s">
        <v>68</v>
      </c>
      <c r="D31" s="4" t="s">
        <v>69</v>
      </c>
      <c r="E31" s="5" t="s">
        <v>34</v>
      </c>
      <c r="F31" s="5" t="s">
        <v>35</v>
      </c>
      <c r="G31" s="5" t="s">
        <v>35</v>
      </c>
      <c r="H31" s="5" t="s">
        <v>35</v>
      </c>
      <c r="I31" s="5" t="s">
        <v>35</v>
      </c>
      <c r="J31" s="4" t="e">
        <f>'30'!L31</f>
        <v>#VALUE!</v>
      </c>
      <c r="K31" s="4" t="e">
        <f>F31+G31</f>
        <v>#VALUE!</v>
      </c>
      <c r="L31" s="4" t="e">
        <f>J31+K31</f>
        <v>#VALUE!</v>
      </c>
      <c r="M31" s="6">
        <v>1049</v>
      </c>
      <c r="N31" s="4" t="e">
        <f>L31-M31</f>
        <v>#VALUE!</v>
      </c>
      <c r="O31" s="4">
        <v>500</v>
      </c>
      <c r="P31" s="6" t="e">
        <f>O31-N31</f>
        <v>#VALUE!</v>
      </c>
      <c r="Q31" s="7" t="s">
        <v>35</v>
      </c>
      <c r="R31" s="8" t="s">
        <v>35</v>
      </c>
      <c r="S31" s="8" t="s">
        <v>70</v>
      </c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2026-08-19T13:03:36Z</dcterms:created>
  <dcterms:modified xsi:type="dcterms:W3CDTF">2026-08-19T14:20:57Z</dcterms:modified>
  <cp:category/>
</cp:coreProperties>
</file>