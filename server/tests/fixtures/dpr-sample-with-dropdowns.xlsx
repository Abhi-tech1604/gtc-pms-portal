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hidden" r:id="rId4"/>
    <sheet sheetId="2" name="DPR" state="visible" r:id="rId5"/>
  </sheets>
  <calcPr calcId="171027"/>
</workbook>
</file>

<file path=xl/sharedStrings.xml><?xml version="1.0" encoding="utf-8"?>
<sst xmlns="http://schemas.openxmlformats.org/spreadsheetml/2006/main" count="74" uniqueCount="70">
  <si>
    <t>R0</t>
  </si>
  <si>
    <t>02 - Drilling</t>
  </si>
  <si>
    <t>Draw Works</t>
  </si>
  <si>
    <t>5 1/2"</t>
  </si>
  <si>
    <t>2 7/8"</t>
  </si>
  <si>
    <t>R1</t>
  </si>
  <si>
    <t>03 - Reaming</t>
  </si>
  <si>
    <t>Mud Pump</t>
  </si>
  <si>
    <t>6"</t>
  </si>
  <si>
    <t>4 1/2"</t>
  </si>
  <si>
    <t>R2</t>
  </si>
  <si>
    <t>04 - Coring</t>
  </si>
  <si>
    <t>Kelly</t>
  </si>
  <si>
    <t>8 1/2"</t>
  </si>
  <si>
    <t>5"</t>
  </si>
  <si>
    <t>R2/2</t>
  </si>
  <si>
    <t>05 - C&amp;C</t>
  </si>
  <si>
    <t>Rotary/PTO</t>
  </si>
  <si>
    <t>12 1/4"</t>
  </si>
  <si>
    <t>R3</t>
  </si>
  <si>
    <t>06 - Tripping</t>
  </si>
  <si>
    <t>Carrier Engine</t>
  </si>
  <si>
    <t>17 1/2"</t>
  </si>
  <si>
    <t>7"</t>
  </si>
  <si>
    <t>ILM</t>
  </si>
  <si>
    <t>07 - Lubrication</t>
  </si>
  <si>
    <t>Compressor</t>
  </si>
  <si>
    <t>26"</t>
  </si>
  <si>
    <t>9 5/8"</t>
  </si>
  <si>
    <t>08 - Breakdown</t>
  </si>
  <si>
    <t>Drillograph</t>
  </si>
  <si>
    <t>13 3/8"</t>
  </si>
  <si>
    <t>09 - Slip &amp; Cut</t>
  </si>
  <si>
    <t>Others</t>
  </si>
  <si>
    <t>20"</t>
  </si>
  <si>
    <t>10 - Deviation Survey</t>
  </si>
  <si>
    <t>11 - Logging</t>
  </si>
  <si>
    <t>12 - Casing R/in</t>
  </si>
  <si>
    <t>13 - Wait on Cement</t>
  </si>
  <si>
    <t>14 - Nipple Up/Down BOP</t>
  </si>
  <si>
    <t>15 - Test BOP</t>
  </si>
  <si>
    <t>16 - Drill Stem BOP</t>
  </si>
  <si>
    <t>17 - Plug Back</t>
  </si>
  <si>
    <t>18 - Cementing</t>
  </si>
  <si>
    <t>19 - Fishing</t>
  </si>
  <si>
    <t>20 - Directional Work</t>
  </si>
  <si>
    <t>21 - Tubing Job</t>
  </si>
  <si>
    <t>22 - Testing LOT CIT</t>
  </si>
  <si>
    <t>23 - Other</t>
  </si>
  <si>
    <t>GTC — Daily Progress Report (DPR)</t>
  </si>
  <si>
    <t>RIG NO.</t>
  </si>
  <si>
    <t>GTC 100-03</t>
  </si>
  <si>
    <t>DATE</t>
  </si>
  <si>
    <t>24-08-2026</t>
  </si>
  <si>
    <t>DRILLING SECTION</t>
  </si>
  <si>
    <t>CASING SECTION</t>
  </si>
  <si>
    <t>WELL NAME</t>
  </si>
  <si>
    <t xml:space="preserve">OPERATION
TASK CODE</t>
  </si>
  <si>
    <t xml:space="preserve">WORK
TYPE</t>
  </si>
  <si>
    <t xml:space="preserve">START
TIME</t>
  </si>
  <si>
    <t xml:space="preserve">END
TIME</t>
  </si>
  <si>
    <t xml:space="preserve">TOTAL TIME
(Auto)</t>
  </si>
  <si>
    <t>DESCRIPTION / REMARKS</t>
  </si>
  <si>
    <t xml:space="preserve">BREAKDOWN
EQUIPMENT</t>
  </si>
  <si>
    <t xml:space="preserve">DRILLING
SECTION</t>
  </si>
  <si>
    <t xml:space="preserve">FROM
(M)</t>
  </si>
  <si>
    <t xml:space="preserve">TO
(M)</t>
  </si>
  <si>
    <t xml:space="preserve">TOTAL
(Auto)</t>
  </si>
  <si>
    <t xml:space="preserve">CASING
SECTION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</si>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</sst>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9"/>
    </font>
    <font>
      <color rgb="FF1F4E79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/>
    <xf numFmtId="0" fontId="0" fillId="2" borderId="1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vertical="center"/>
      <protection locked="0"/>
    </xf>
    <xf numFmtId="20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vertical="center" wrapText="1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FormatPr defaultRowHeight="15" outlineLevelRow="0" outlineLevelCol="0" x14ac:dyDescent="55"/>
  <cols>
    <col min="1" max="1" width="4" customWidth="1"/>
    <col min="2" max="6" width="22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2:6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2:6" x14ac:dyDescent="0.25">
      <c r="B4" t="s">
        <v>15</v>
      </c>
      <c r="C4" t="s">
        <v>16</v>
      </c>
      <c r="D4" t="s">
        <v>17</v>
      </c>
      <c r="E4" t="s">
        <v>18</v>
      </c>
      <c r="F4" t="s">
        <v>3</v>
      </c>
    </row>
    <row r="5" spans="2:6" x14ac:dyDescent="0.25"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2:6" x14ac:dyDescent="0.25"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3:6" x14ac:dyDescent="0.25">
      <c r="C7" t="s">
        <v>29</v>
      </c>
      <c r="D7" t="s">
        <v>30</v>
      </c>
      <c r="F7" t="s">
        <v>31</v>
      </c>
    </row>
    <row r="8" spans="3:6" x14ac:dyDescent="0.25">
      <c r="C8" t="s">
        <v>32</v>
      </c>
      <c r="D8" t="s">
        <v>33</v>
      </c>
      <c r="F8" t="s">
        <v>34</v>
      </c>
    </row>
    <row r="9" spans="3:3" x14ac:dyDescent="0.25">
      <c r="C9" t="s">
        <v>35</v>
      </c>
    </row>
    <row r="10" spans="3:3" x14ac:dyDescent="0.25">
      <c r="C10" t="s">
        <v>36</v>
      </c>
    </row>
    <row r="11" spans="3:3" x14ac:dyDescent="0.25">
      <c r="C11" t="s">
        <v>37</v>
      </c>
    </row>
    <row r="12" spans="3:3" x14ac:dyDescent="0.25">
      <c r="C12" t="s">
        <v>38</v>
      </c>
    </row>
    <row r="13" spans="3:3" x14ac:dyDescent="0.25">
      <c r="C13" t="s">
        <v>39</v>
      </c>
    </row>
    <row r="14" spans="3:3" x14ac:dyDescent="0.25">
      <c r="C14" t="s">
        <v>40</v>
      </c>
    </row>
    <row r="15" spans="3:3" x14ac:dyDescent="0.25">
      <c r="C15" t="s">
        <v>41</v>
      </c>
    </row>
    <row r="16" spans="3:3" x14ac:dyDescent="0.25">
      <c r="C16" t="s">
        <v>42</v>
      </c>
    </row>
    <row r="17" spans="3:3" x14ac:dyDescent="0.25">
      <c r="C17" t="s">
        <v>43</v>
      </c>
    </row>
    <row r="18" spans="3:3" x14ac:dyDescent="0.25">
      <c r="C18" t="s">
        <v>44</v>
      </c>
    </row>
    <row r="19" spans="3:3" x14ac:dyDescent="0.25">
      <c r="C19" t="s">
        <v>45</v>
      </c>
    </row>
    <row r="20" spans="3:3" x14ac:dyDescent="0.25">
      <c r="C20" t="s">
        <v>46</v>
      </c>
    </row>
    <row r="21" spans="3:3" x14ac:dyDescent="0.25">
      <c r="C21" t="s">
        <v>47</v>
      </c>
    </row>
    <row r="22" spans="3:3" x14ac:dyDescent="0.25">
      <c r="C2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 zoomScale="100" zoomScaleNormal="100"/>
  </sheetViews>
  <sheetFormatPr defaultRowHeight="15" outlineLevelRow="0" outlineLevelCol="0" x14ac:dyDescent="55"/>
  <cols>
    <col min="1" max="1" width="16" customWidth="1"/>
    <col min="2" max="2" width="24" customWidth="1"/>
    <col min="3" max="3" width="12" customWidth="1"/>
    <col min="4" max="5" width="10" customWidth="1"/>
    <col min="6" max="6" width="11" customWidth="1"/>
    <col min="7" max="7" width="40" customWidth="1"/>
    <col min="8" max="8" width="20" customWidth="1"/>
    <col min="9" max="9" width="13" customWidth="1"/>
    <col min="10" max="12" width="10" customWidth="1"/>
    <col min="13" max="13" width="13" customWidth="1"/>
    <col min="14" max="16" width="10" customWidth="1"/>
  </cols>
  <sheetData>
    <row r="1" spans="1:16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50</v>
      </c>
      <c r="B2" s="3" t="s">
        <v>51</v>
      </c>
      <c r="C2" s="3"/>
      <c r="D2" s="2" t="s">
        <v>52</v>
      </c>
      <c r="E2" s="4" t="s">
        <v>53</v>
      </c>
      <c r="F2" s="4"/>
      <c r="I2" s="5" t="s">
        <v>54</v>
      </c>
      <c r="J2" s="5"/>
      <c r="K2" s="5"/>
      <c r="L2" s="5"/>
      <c r="M2" s="5" t="s">
        <v>55</v>
      </c>
      <c r="N2" s="5"/>
      <c r="O2" s="5"/>
      <c r="P2" s="5"/>
    </row>
    <row r="3" ht="32" customHeight="1" spans="1:16" x14ac:dyDescent="0.25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6" t="s">
        <v>65</v>
      </c>
      <c r="O3" s="6" t="s">
        <v>66</v>
      </c>
      <c r="P3" s="6" t="s">
        <v>67</v>
      </c>
    </row>
    <row r="4" ht="20" customHeight="1" spans="1:16" x14ac:dyDescent="0.25">
      <c r="A4" s="7"/>
      <c r="B4" s="7"/>
      <c r="C4" s="7"/>
      <c r="D4" s="8"/>
      <c r="E4" s="8"/>
      <c r="F4" s="9">
        <f>IF(AND(D4&lt;&gt;"",E4&lt;&gt;""),IF(E4&gt;=D4,(E4-D4)*24,(1+E4-D4)*24),"")</f>
      </c>
      <c r="G4" s="10"/>
      <c r="H4" s="7"/>
      <c r="I4" s="7"/>
      <c r="J4" s="11"/>
      <c r="K4" s="11"/>
      <c r="L4" s="9">
        <f>IF(AND(J4&lt;&gt;"",K4&lt;&gt;""),K4-J4,"")</f>
      </c>
      <c r="M4" s="7"/>
      <c r="N4" s="11"/>
      <c r="O4" s="11"/>
      <c r="P4" s="9">
        <f>IF(AND(N4&lt;&gt;"",O4&lt;&gt;""),O4-N4,"")</f>
      </c>
    </row>
    <row r="5" ht="20" customHeight="1" spans="1:16" x14ac:dyDescent="0.25">
      <c r="A5" s="7"/>
      <c r="B5" s="7"/>
      <c r="C5" s="7"/>
      <c r="D5" s="8"/>
      <c r="E5" s="8"/>
      <c r="F5" s="9">
        <f>IF(AND(D5&lt;&gt;"",E5&lt;&gt;""),IF(E5&gt;=D5,(E5-D5)*24,(1+E5-D5)*24),"")</f>
      </c>
      <c r="G5" s="10"/>
      <c r="H5" s="7"/>
      <c r="I5" s="7"/>
      <c r="J5" s="11"/>
      <c r="K5" s="11"/>
      <c r="L5" s="9">
        <f>IF(AND(J5&lt;&gt;"",K5&lt;&gt;""),K5-J5,"")</f>
      </c>
      <c r="M5" s="7"/>
      <c r="N5" s="11"/>
      <c r="O5" s="11"/>
      <c r="P5" s="9">
        <f>IF(AND(N5&lt;&gt;"",O5&lt;&gt;""),O5-N5,"")</f>
      </c>
    </row>
    <row r="6" ht="20" customHeight="1" spans="1:16" x14ac:dyDescent="0.25">
      <c r="A6" s="7"/>
      <c r="B6" s="7"/>
      <c r="C6" s="7"/>
      <c r="D6" s="8"/>
      <c r="E6" s="8"/>
      <c r="F6" s="9">
        <f>IF(AND(D6&lt;&gt;"",E6&lt;&gt;""),IF(E6&gt;=D6,(E6-D6)*24,(1+E6-D6)*24),"")</f>
      </c>
      <c r="G6" s="10"/>
      <c r="H6" s="7"/>
      <c r="I6" s="7"/>
      <c r="J6" s="11"/>
      <c r="K6" s="11"/>
      <c r="L6" s="9">
        <f>IF(AND(J6&lt;&gt;"",K6&lt;&gt;""),K6-J6,"")</f>
      </c>
      <c r="M6" s="7"/>
      <c r="N6" s="11"/>
      <c r="O6" s="11"/>
      <c r="P6" s="9">
        <f>IF(AND(N6&lt;&gt;"",O6&lt;&gt;""),O6-N6,"")</f>
      </c>
    </row>
    <row r="7" ht="20" customHeight="1" spans="1:16" x14ac:dyDescent="0.25">
      <c r="A7" s="7"/>
      <c r="B7" s="7"/>
      <c r="C7" s="7"/>
      <c r="D7" s="8"/>
      <c r="E7" s="8"/>
      <c r="F7" s="9">
        <f>IF(AND(D7&lt;&gt;"",E7&lt;&gt;""),IF(E7&gt;=D7,(E7-D7)*24,(1+E7-D7)*24),"")</f>
      </c>
      <c r="G7" s="10"/>
      <c r="H7" s="7"/>
      <c r="I7" s="7"/>
      <c r="J7" s="11"/>
      <c r="K7" s="11"/>
      <c r="L7" s="9">
        <f>IF(AND(J7&lt;&gt;"",K7&lt;&gt;""),K7-J7,"")</f>
      </c>
      <c r="M7" s="7"/>
      <c r="N7" s="11"/>
      <c r="O7" s="11"/>
      <c r="P7" s="9">
        <f>IF(AND(N7&lt;&gt;"",O7&lt;&gt;""),O7-N7,"")</f>
      </c>
    </row>
    <row r="8" ht="20" customHeight="1" spans="1:16" x14ac:dyDescent="0.25">
      <c r="A8" s="7"/>
      <c r="B8" s="7"/>
      <c r="C8" s="7"/>
      <c r="D8" s="8"/>
      <c r="E8" s="8"/>
      <c r="F8" s="9">
        <f>IF(AND(D8&lt;&gt;"",E8&lt;&gt;""),IF(E8&gt;=D8,(E8-D8)*24,(1+E8-D8)*24),"")</f>
      </c>
      <c r="G8" s="10"/>
      <c r="H8" s="7"/>
      <c r="I8" s="7"/>
      <c r="J8" s="11"/>
      <c r="K8" s="11"/>
      <c r="L8" s="9">
        <f>IF(AND(J8&lt;&gt;"",K8&lt;&gt;""),K8-J8,"")</f>
      </c>
      <c r="M8" s="7"/>
      <c r="N8" s="11"/>
      <c r="O8" s="11"/>
      <c r="P8" s="9">
        <f>IF(AND(N8&lt;&gt;"",O8&lt;&gt;""),O8-N8,"")</f>
      </c>
    </row>
    <row r="9" ht="20" customHeight="1" spans="1:16" x14ac:dyDescent="0.25">
      <c r="A9" s="7"/>
      <c r="B9" s="7"/>
      <c r="C9" s="7"/>
      <c r="D9" s="8"/>
      <c r="E9" s="8"/>
      <c r="F9" s="9">
        <f>IF(AND(D9&lt;&gt;"",E9&lt;&gt;""),IF(E9&gt;=D9,(E9-D9)*24,(1+E9-D9)*24),"")</f>
      </c>
      <c r="G9" s="10"/>
      <c r="H9" s="7"/>
      <c r="I9" s="7"/>
      <c r="J9" s="11"/>
      <c r="K9" s="11"/>
      <c r="L9" s="9">
        <f>IF(AND(J9&lt;&gt;"",K9&lt;&gt;""),K9-J9,"")</f>
      </c>
      <c r="M9" s="7"/>
      <c r="N9" s="11"/>
      <c r="O9" s="11"/>
      <c r="P9" s="9">
        <f>IF(AND(N9&lt;&gt;"",O9&lt;&gt;""),O9-N9,"")</f>
      </c>
    </row>
    <row r="10" ht="20" customHeight="1" spans="1:16" x14ac:dyDescent="0.25">
      <c r="A10" s="7"/>
      <c r="B10" s="7"/>
      <c r="C10" s="7"/>
      <c r="D10" s="8"/>
      <c r="E10" s="8"/>
      <c r="F10" s="9">
        <f>IF(AND(D10&lt;&gt;"",E10&lt;&gt;""),IF(E10&gt;=D10,(E10-D10)*24,(1+E10-D10)*24),"")</f>
      </c>
      <c r="G10" s="10"/>
      <c r="H10" s="7"/>
      <c r="I10" s="7"/>
      <c r="J10" s="11"/>
      <c r="K10" s="11"/>
      <c r="L10" s="9">
        <f>IF(AND(J10&lt;&gt;"",K10&lt;&gt;""),K10-J10,"")</f>
      </c>
      <c r="M10" s="7"/>
      <c r="N10" s="11"/>
      <c r="O10" s="11"/>
      <c r="P10" s="9">
        <f>IF(AND(N10&lt;&gt;"",O10&lt;&gt;""),O10-N10,"")</f>
      </c>
    </row>
    <row r="11" ht="20" customHeight="1" spans="1:16" x14ac:dyDescent="0.25">
      <c r="A11" s="7"/>
      <c r="B11" s="7"/>
      <c r="C11" s="7"/>
      <c r="D11" s="8"/>
      <c r="E11" s="8"/>
      <c r="F11" s="9">
        <f>IF(AND(D11&lt;&gt;"",E11&lt;&gt;""),IF(E11&gt;=D11,(E11-D11)*24,(1+E11-D11)*24),"")</f>
      </c>
      <c r="G11" s="10"/>
      <c r="H11" s="7"/>
      <c r="I11" s="7"/>
      <c r="J11" s="11"/>
      <c r="K11" s="11"/>
      <c r="L11" s="9">
        <f>IF(AND(J11&lt;&gt;"",K11&lt;&gt;""),K11-J11,"")</f>
      </c>
      <c r="M11" s="7"/>
      <c r="N11" s="11"/>
      <c r="O11" s="11"/>
      <c r="P11" s="9">
        <f>IF(AND(N11&lt;&gt;"",O11&lt;&gt;""),O11-N11,"")</f>
      </c>
    </row>
    <row r="12" ht="20" customHeight="1" spans="1:16" x14ac:dyDescent="0.25">
      <c r="A12" s="7"/>
      <c r="B12" s="7"/>
      <c r="C12" s="7"/>
      <c r="D12" s="8"/>
      <c r="E12" s="8"/>
      <c r="F12" s="9">
        <f>IF(AND(D12&lt;&gt;"",E12&lt;&gt;""),IF(E12&gt;=D12,(E12-D12)*24,(1+E12-D12)*24),"")</f>
      </c>
      <c r="G12" s="10"/>
      <c r="H12" s="7"/>
      <c r="I12" s="7"/>
      <c r="J12" s="11"/>
      <c r="K12" s="11"/>
      <c r="L12" s="9">
        <f>IF(AND(J12&lt;&gt;"",K12&lt;&gt;""),K12-J12,"")</f>
      </c>
      <c r="M12" s="7"/>
      <c r="N12" s="11"/>
      <c r="O12" s="11"/>
      <c r="P12" s="9">
        <f>IF(AND(N12&lt;&gt;"",O12&lt;&gt;""),O12-N12,"")</f>
      </c>
    </row>
    <row r="13" ht="20" customHeight="1" spans="1:16" x14ac:dyDescent="0.25">
      <c r="A13" s="7"/>
      <c r="B13" s="7"/>
      <c r="C13" s="7"/>
      <c r="D13" s="8"/>
      <c r="E13" s="8"/>
      <c r="F13" s="9">
        <f>IF(AND(D13&lt;&gt;"",E13&lt;&gt;""),IF(E13&gt;=D13,(E13-D13)*24,(1+E13-D13)*24),"")</f>
      </c>
      <c r="G13" s="10"/>
      <c r="H13" s="7"/>
      <c r="I13" s="7"/>
      <c r="J13" s="11"/>
      <c r="K13" s="11"/>
      <c r="L13" s="9">
        <f>IF(AND(J13&lt;&gt;"",K13&lt;&gt;""),K13-J13,"")</f>
      </c>
      <c r="M13" s="7"/>
      <c r="N13" s="11"/>
      <c r="O13" s="11"/>
      <c r="P13" s="9">
        <f>IF(AND(N13&lt;&gt;"",O13&lt;&gt;""),O13-N13,"")</f>
      </c>
    </row>
    <row r="14" ht="20" customHeight="1" spans="1:16" x14ac:dyDescent="0.25">
      <c r="A14" s="7"/>
      <c r="B14" s="7"/>
      <c r="C14" s="7"/>
      <c r="D14" s="8"/>
      <c r="E14" s="8"/>
      <c r="F14" s="9">
        <f>IF(AND(D14&lt;&gt;"",E14&lt;&gt;""),IF(E14&gt;=D14,(E14-D14)*24,(1+E14-D14)*24),"")</f>
      </c>
      <c r="G14" s="10"/>
      <c r="H14" s="7"/>
      <c r="I14" s="7"/>
      <c r="J14" s="11"/>
      <c r="K14" s="11"/>
      <c r="L14" s="9">
        <f>IF(AND(J14&lt;&gt;"",K14&lt;&gt;""),K14-J14,"")</f>
      </c>
      <c r="M14" s="7"/>
      <c r="N14" s="11"/>
      <c r="O14" s="11"/>
      <c r="P14" s="9">
        <f>IF(AND(N14&lt;&gt;"",O14&lt;&gt;""),O14-N14,"")</f>
      </c>
    </row>
    <row r="15" ht="20" customHeight="1" spans="1:16" x14ac:dyDescent="0.25">
      <c r="A15" s="7"/>
      <c r="B15" s="7"/>
      <c r="C15" s="7"/>
      <c r="D15" s="8"/>
      <c r="E15" s="8"/>
      <c r="F15" s="9">
        <f>IF(AND(D15&lt;&gt;"",E15&lt;&gt;""),IF(E15&gt;=D15,(E15-D15)*24,(1+E15-D15)*24),"")</f>
      </c>
      <c r="G15" s="10"/>
      <c r="H15" s="7"/>
      <c r="I15" s="7"/>
      <c r="J15" s="11"/>
      <c r="K15" s="11"/>
      <c r="L15" s="9">
        <f>IF(AND(J15&lt;&gt;"",K15&lt;&gt;""),K15-J15,"")</f>
      </c>
      <c r="M15" s="7"/>
      <c r="N15" s="11"/>
      <c r="O15" s="11"/>
      <c r="P15" s="9">
        <f>IF(AND(N15&lt;&gt;"",O15&lt;&gt;""),O15-N15,"")</f>
      </c>
    </row>
    <row r="16" ht="20" customHeight="1" spans="1:16" x14ac:dyDescent="0.25">
      <c r="A16" s="7"/>
      <c r="B16" s="7"/>
      <c r="C16" s="7"/>
      <c r="D16" s="8"/>
      <c r="E16" s="8"/>
      <c r="F16" s="9">
        <f>IF(AND(D16&lt;&gt;"",E16&lt;&gt;""),IF(E16&gt;=D16,(E16-D16)*24,(1+E16-D16)*24),"")</f>
      </c>
      <c r="G16" s="10"/>
      <c r="H16" s="7"/>
      <c r="I16" s="7"/>
      <c r="J16" s="11"/>
      <c r="K16" s="11"/>
      <c r="L16" s="9">
        <f>IF(AND(J16&lt;&gt;"",K16&lt;&gt;""),K16-J16,"")</f>
      </c>
      <c r="M16" s="7"/>
      <c r="N16" s="11"/>
      <c r="O16" s="11"/>
      <c r="P16" s="9">
        <f>IF(AND(N16&lt;&gt;"",O16&lt;&gt;""),O16-N16,"")</f>
      </c>
    </row>
    <row r="17" ht="20" customHeight="1" spans="1:16" x14ac:dyDescent="0.25">
      <c r="A17" s="7"/>
      <c r="B17" s="7"/>
      <c r="C17" s="7"/>
      <c r="D17" s="8"/>
      <c r="E17" s="8"/>
      <c r="F17" s="9">
        <f>IF(AND(D17&lt;&gt;"",E17&lt;&gt;""),IF(E17&gt;=D17,(E17-D17)*24,(1+E17-D17)*24),"")</f>
      </c>
      <c r="G17" s="10"/>
      <c r="H17" s="7"/>
      <c r="I17" s="7"/>
      <c r="J17" s="11"/>
      <c r="K17" s="11"/>
      <c r="L17" s="9">
        <f>IF(AND(J17&lt;&gt;"",K17&lt;&gt;""),K17-J17,"")</f>
      </c>
      <c r="M17" s="7"/>
      <c r="N17" s="11"/>
      <c r="O17" s="11"/>
      <c r="P17" s="9">
        <f>IF(AND(N17&lt;&gt;"",O17&lt;&gt;""),O17-N17,"")</f>
      </c>
    </row>
    <row r="18" ht="20" customHeight="1" spans="1:16" x14ac:dyDescent="0.25">
      <c r="A18" s="7"/>
      <c r="B18" s="7"/>
      <c r="C18" s="7"/>
      <c r="D18" s="8"/>
      <c r="E18" s="8"/>
      <c r="F18" s="9">
        <f>IF(AND(D18&lt;&gt;"",E18&lt;&gt;""),IF(E18&gt;=D18,(E18-D18)*24,(1+E18-D18)*24),"")</f>
      </c>
      <c r="G18" s="10"/>
      <c r="H18" s="7"/>
      <c r="I18" s="7"/>
      <c r="J18" s="11"/>
      <c r="K18" s="11"/>
      <c r="L18" s="9">
        <f>IF(AND(J18&lt;&gt;"",K18&lt;&gt;""),K18-J18,"")</f>
      </c>
      <c r="M18" s="7"/>
      <c r="N18" s="11"/>
      <c r="O18" s="11"/>
      <c r="P18" s="9">
        <f>IF(AND(N18&lt;&gt;"",O18&lt;&gt;""),O18-N18,"")</f>
      </c>
    </row>
    <row r="19" ht="20" customHeight="1" spans="1:16" x14ac:dyDescent="0.25">
      <c r="A19" s="7"/>
      <c r="B19" s="7"/>
      <c r="C19" s="7"/>
      <c r="D19" s="8"/>
      <c r="E19" s="8"/>
      <c r="F19" s="9">
        <f>IF(AND(D19&lt;&gt;"",E19&lt;&gt;""),IF(E19&gt;=D19,(E19-D19)*24,(1+E19-D19)*24),"")</f>
      </c>
      <c r="G19" s="10"/>
      <c r="H19" s="7"/>
      <c r="I19" s="7"/>
      <c r="J19" s="11"/>
      <c r="K19" s="11"/>
      <c r="L19" s="9">
        <f>IF(AND(J19&lt;&gt;"",K19&lt;&gt;""),K19-J19,"")</f>
      </c>
      <c r="M19" s="7"/>
      <c r="N19" s="11"/>
      <c r="O19" s="11"/>
      <c r="P19" s="9">
        <f>IF(AND(N19&lt;&gt;"",O19&lt;&gt;""),O19-N19,"")</f>
      </c>
    </row>
    <row r="20" spans="1:16" x14ac:dyDescent="0.25">
      <c r="A20" s="2" t="s">
        <v>69</v>
      </c>
      <c r="F20" s="9">
        <f>SUM(F4:F19)</f>
      </c>
      <c r="L20" s="9">
        <f>SUM(L4:L19)</f>
      </c>
      <c r="P20" s="9">
        <f>SUM(P4:P19)</f>
      </c>
    </row>
  </sheetData>
  <sheetProtection sheet="1"/>
  <mergeCells count="5">
    <mergeCell ref="A1:P1"/>
    <mergeCell ref="B2:C2"/>
    <mergeCell ref="E2:F2"/>
    <mergeCell ref="I2:L2"/>
    <mergeCell ref="M2:P2"/>
  </mergeCells>
  <dataValidations count="10">
    <dataValidation type="list" allowBlank="1" sqref="B10:B19">
      <formula1>Lists!$C$1:$C$22</formula1>
    </dataValidation>
    <dataValidation type="list" allowBlank="1" sqref="B4:B19">
      <formula1>Lists!$C$1:$C$22</formula1>
    </dataValidation>
    <dataValidation type="list" allowBlank="1" sqref="C10:C19">
      <formula1>Lists!$B$1:$B$6</formula1>
    </dataValidation>
    <dataValidation type="list" allowBlank="1" sqref="C4:C19">
      <formula1>Lists!$B$1:$B$6</formula1>
    </dataValidation>
    <dataValidation type="list" allowBlank="1" sqref="H10:H19">
      <formula1>Lists!$D$1:$D$8</formula1>
    </dataValidation>
    <dataValidation type="list" allowBlank="1" sqref="H4:H19">
      <formula1>Lists!$D$1:$D$8</formula1>
    </dataValidation>
    <dataValidation type="list" allowBlank="1" sqref="I10:I19">
      <formula1>Lists!$E$1:$E$6</formula1>
    </dataValidation>
    <dataValidation type="list" allowBlank="1" sqref="I4:I19">
      <formula1>Lists!$E$1:$E$6</formula1>
    </dataValidation>
    <dataValidation type="list" allowBlank="1" sqref="M10:M19">
      <formula1>Lists!$F$1:$F$8</formula1>
    </dataValidation>
    <dataValidation type="list" allowBlank="1" sqref="M4:M19">
      <formula1>Lists!$F$1:$F$8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</vt:lpstr>
      <vt:lpstr>DPR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 Oilfield Portal</dc:creator>
  <dc:title/>
  <dc:subject/>
  <dc:description/>
  <cp:keywords/>
  <cp:category/>
  <cp:lastModifiedBy>Unknown</cp:lastModifiedBy>
  <dcterms:created xsi:type="dcterms:W3CDTF">2026-08-24T11:46:51Z</dcterms:created>
  <dcterms:modified xsi:type="dcterms:W3CDTF">2026-08-24T11:46:51Z</dcterms:modified>
</cp:coreProperties>
</file>